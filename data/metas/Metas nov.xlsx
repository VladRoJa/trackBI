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mir\Documents\Reportes\track\TRACK BI\data\metas\"/>
    </mc:Choice>
  </mc:AlternateContent>
  <xr:revisionPtr revIDLastSave="0" documentId="13_ncr:1_{77AEEEDD-8EBB-488E-8444-A3A92511B7B9}" xr6:coauthVersionLast="47" xr6:coauthVersionMax="47" xr10:uidLastSave="{00000000-0000-0000-0000-000000000000}"/>
  <bookViews>
    <workbookView xWindow="-108" yWindow="-108" windowWidth="23256" windowHeight="12456" xr2:uid="{25CE6252-27A9-4B41-ABF1-E4554C54E6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K25" i="1" s="1"/>
  <c r="J46" i="1"/>
  <c r="I46" i="1"/>
  <c r="J45" i="1"/>
  <c r="I45" i="1"/>
  <c r="J44" i="1"/>
  <c r="I44" i="1"/>
  <c r="K44" i="1" s="1"/>
  <c r="J43" i="1"/>
  <c r="I43" i="1"/>
  <c r="K43" i="1" s="1"/>
  <c r="J42" i="1"/>
  <c r="I42" i="1"/>
  <c r="J41" i="1"/>
  <c r="I41" i="1"/>
  <c r="K41" i="1" s="1"/>
  <c r="J40" i="1"/>
  <c r="I40" i="1"/>
  <c r="J39" i="1"/>
  <c r="I39" i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J32" i="1"/>
  <c r="I32" i="1"/>
  <c r="K32" i="1" s="1"/>
  <c r="J31" i="1"/>
  <c r="I31" i="1"/>
  <c r="K31" i="1" s="1"/>
  <c r="J30" i="1"/>
  <c r="I30" i="1"/>
  <c r="K30" i="1" s="1"/>
  <c r="J29" i="1"/>
  <c r="I29" i="1"/>
  <c r="K29" i="1" s="1"/>
  <c r="J28" i="1"/>
  <c r="I28" i="1"/>
  <c r="J27" i="1"/>
  <c r="I27" i="1"/>
  <c r="J26" i="1"/>
  <c r="I26" i="1"/>
  <c r="K26" i="1" s="1"/>
  <c r="J25" i="1"/>
  <c r="K16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K4" i="1" l="1"/>
  <c r="K27" i="1"/>
  <c r="K39" i="1"/>
  <c r="K45" i="1"/>
  <c r="K42" i="1"/>
  <c r="K40" i="1"/>
  <c r="K33" i="1"/>
  <c r="K28" i="1"/>
  <c r="K3" i="1"/>
  <c r="K46" i="1"/>
  <c r="K13" i="1"/>
  <c r="K7" i="1"/>
  <c r="K19" i="1"/>
  <c r="K11" i="1"/>
  <c r="K23" i="1"/>
  <c r="K12" i="1"/>
  <c r="K24" i="1"/>
  <c r="K17" i="1"/>
  <c r="K18" i="1"/>
  <c r="K5" i="1"/>
  <c r="K6" i="1"/>
  <c r="K20" i="1"/>
  <c r="K8" i="1"/>
  <c r="K9" i="1"/>
  <c r="K21" i="1"/>
  <c r="K10" i="1"/>
  <c r="K22" i="1"/>
  <c r="K14" i="1"/>
  <c r="K15" i="1"/>
</calcChain>
</file>

<file path=xl/sharedStrings.xml><?xml version="1.0" encoding="utf-8"?>
<sst xmlns="http://schemas.openxmlformats.org/spreadsheetml/2006/main" count="57" uniqueCount="35">
  <si>
    <t>VILLAS DEL REY</t>
  </si>
  <si>
    <t>VILLA VERDE MEXICALI</t>
  </si>
  <si>
    <t>INDEPENDENCIA</t>
  </si>
  <si>
    <t>TEC MEXICALI</t>
  </si>
  <si>
    <t>SENDERO MEXICALI</t>
  </si>
  <si>
    <t>SAN LUIS</t>
  </si>
  <si>
    <t>PABELLON ROSARITO</t>
  </si>
  <si>
    <t>MISION ENSENADA</t>
  </si>
  <si>
    <t>PASEO 2000</t>
  </si>
  <si>
    <t>LOMA BONITA</t>
  </si>
  <si>
    <t>SANTA FE</t>
  </si>
  <si>
    <t>CARROUSEL TIJUANA</t>
  </si>
  <si>
    <t>PAPALOTE TIJUANA</t>
  </si>
  <si>
    <t>SENDERO CULIACAN</t>
  </si>
  <si>
    <t>SAN ISIDRO CULIACAN</t>
  </si>
  <si>
    <t>AZAHARES CULIACAN</t>
  </si>
  <si>
    <t>SANTA CATARINA</t>
  </si>
  <si>
    <t>SENDERO SALTILLO</t>
  </si>
  <si>
    <t>SENDERO CHIHUAHUA</t>
  </si>
  <si>
    <t>PASEO LA PAZ</t>
  </si>
  <si>
    <t>IXTAPALUCA</t>
  </si>
  <si>
    <t>INSURGENTES</t>
  </si>
  <si>
    <t>Sucursales</t>
  </si>
  <si>
    <t>Bebidas</t>
  </si>
  <si>
    <t>Artículos</t>
  </si>
  <si>
    <t>Tienda</t>
  </si>
  <si>
    <t xml:space="preserve">Meta FAYCGO </t>
  </si>
  <si>
    <t>Usuarios 1ro de mes</t>
  </si>
  <si>
    <t>Proyecciòn Usuarios activos a fin de mes</t>
  </si>
  <si>
    <t>Meta de clientes nuevos</t>
  </si>
  <si>
    <t>Año</t>
  </si>
  <si>
    <t>Mes</t>
  </si>
  <si>
    <t>Meta reactivaciones</t>
  </si>
  <si>
    <t>ARPU</t>
  </si>
  <si>
    <t>Meta bajas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</si>
</sst>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80A]* #,##0_-;\-[$$-80A]* #,##0_-;_-[$$-80A]* &quot;-&quot;??_-;_-@"/>
    <numFmt numFmtId="165" formatCode="_-&quot;$&quot;* #,##0_-;\-&quot;$&quot;* #,##0_-;_-&quot;$&quot;* &quot;-&quot;??_-;_-@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</font>
    <font>
      <b/>
      <i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ECECEC"/>
      </top>
      <bottom style="thin">
        <color rgb="FFECECEC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ECECE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64" fontId="3" fillId="0" borderId="1" xfId="0" applyNumberFormat="1" applyFont="1" applyBorder="1"/>
    <xf numFmtId="164" fontId="3" fillId="0" borderId="1" xfId="0" applyNumberFormat="1" applyFont="1" applyBorder="1" applyAlignment="1">
      <alignment horizontal="center" vertical="center"/>
    </xf>
    <xf numFmtId="165" fontId="3" fillId="0" borderId="3" xfId="0" applyNumberFormat="1" applyFont="1" applyBorder="1"/>
    <xf numFmtId="0" fontId="1" fillId="0" borderId="2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6" fillId="0" borderId="1" xfId="0" applyNumberFormat="1" applyFont="1" applyBorder="1"/>
    <xf numFmtId="164" fontId="6" fillId="0" borderId="1" xfId="0" applyNumberFormat="1" applyFont="1" applyBorder="1" applyAlignment="1">
      <alignment horizontal="center" vertical="center"/>
    </xf>
    <xf numFmtId="165" fontId="6" fillId="0" borderId="3" xfId="0" applyNumberFormat="1" applyFont="1" applyBorder="1"/>
    <xf numFmtId="0" fontId="5" fillId="0" borderId="4" xfId="0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64" fontId="6" fillId="0" borderId="5" xfId="0" applyNumberFormat="1" applyFont="1" applyBorder="1"/>
    <xf numFmtId="164" fontId="6" fillId="0" borderId="5" xfId="0" applyNumberFormat="1" applyFont="1" applyBorder="1" applyAlignment="1">
      <alignment horizontal="center" vertical="center"/>
    </xf>
    <xf numFmtId="165" fontId="6" fillId="0" borderId="6" xfId="0" applyNumberFormat="1" applyFont="1" applyBorder="1"/>
  </cellXfs>
  <cellStyles count="1">
    <cellStyle name="Normal" xfId="0" builtinId="0"/>
  </cellStyles>
  <dxfs count="1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&quot;$&quot;* #,##0_-;\-&quot;$&quot;* #,##0_-;_-&quot;$&quot;* &quot;-&quot;??_-;_-@"/>
      <border diagonalUp="0" diagonalDown="0">
        <left/>
        <right/>
        <top style="thin">
          <color rgb="FFECECEC"/>
        </top>
        <bottom style="thin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[$$-80A]* #,##0_-;\-[$$-80A]* #,##0_-;_-[$$-80A]* &quot;-&quot;??_-;_-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[$$-80A]* #,##0_-;\-[$$-80A]* #,##0_-;_-[$$-80A]* &quot;-&quot;??_-;_-@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-[$$-80A]* #,##0_-;\-[$$-80A]* #,##0_-;_-[$$-80A]* &quot;-&quot;??_-;_-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medium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C0CE8-2C9D-4E45-89F3-304CDC43FD91}" name="Tabla1" displayName="Tabla1" ref="A2:M46" totalsRowShown="0" tableBorderDxfId="12">
  <autoFilter ref="A2:M46" xr:uid="{270C0CE8-2C9D-4E45-89F3-304CDC43FD91}"/>
  <tableColumns count="13">
    <tableColumn id="1" xr3:uid="{77AEC5E1-75A8-4D26-B7C6-FEB178F6E1C1}" name="Sucursales" dataDxfId="11"/>
    <tableColumn id="2" xr3:uid="{7462DAAF-6DB4-4405-8508-73A33ADDFB4F}" name="Meta FAYCGO " dataDxfId="10"/>
    <tableColumn id="3" xr3:uid="{26715BA0-E2DF-41F2-B9B9-1F62E0CE5131}" name="Usuarios 1ro de mes" dataDxfId="9"/>
    <tableColumn id="4" xr3:uid="{E3FCE66C-E111-4B4A-B40C-792E067D7C45}" name="Proyecciòn Usuarios activos a fin de mes" dataDxfId="8"/>
    <tableColumn id="5" xr3:uid="{66334719-0049-403A-B612-EEE7CDCFD91E}" name="Meta de clientes nuevos" dataDxfId="7"/>
    <tableColumn id="11" xr3:uid="{3747F394-BC92-4DF9-82AB-77A6FF06F22A}" name="Meta reactivaciones" dataDxfId="6"/>
    <tableColumn id="12" xr3:uid="{C523342F-9057-4D3B-8835-7F6D9A6E1EFD}" name="ARPU" dataDxfId="5"/>
    <tableColumn id="13" xr3:uid="{A191A5EF-FD11-4DA3-ABF9-6BFF96600642}" name="Meta bajas" dataDxfId="4"/>
    <tableColumn id="6" xr3:uid="{E4A3EC2D-E11C-4CA1-BFB3-B808B639E6CC}" name="Bebidas" dataDxfId="3">
      <calculatedColumnFormula>B3*0.07</calculatedColumnFormula>
    </tableColumn>
    <tableColumn id="7" xr3:uid="{019A4BB1-5D06-464D-AA21-8078EFD6DBF4}" name="Artículos" dataDxfId="2">
      <calculatedColumnFormula>(B3*0.013)</calculatedColumnFormula>
    </tableColumn>
    <tableColumn id="8" xr3:uid="{70BCCEC0-77FB-4C5B-A333-BAA74285D0C7}" name="Tienda" dataDxfId="1">
      <calculatedColumnFormula>I3+J3</calculatedColumnFormula>
    </tableColumn>
    <tableColumn id="9" xr3:uid="{5072CA0F-EA14-4D3C-A062-1A5ABD714150}" name="Año"/>
    <tableColumn id="10" xr3:uid="{1F63E2B1-9C9F-411C-903A-4ADC7A6B9DA9}" name="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95DA-BDF5-4CE9-B38E-D0639C2B77E5}">
  <dimension ref="A2:M46"/>
  <sheetViews>
    <sheetView tabSelected="1" workbookViewId="0">
      <selection activeCell="B2" sqref="B2"/>
    </sheetView>
  </sheetViews>
  <sheetFormatPr baseColWidth="10" defaultRowHeight="14.4" x14ac:dyDescent="0.3"/>
  <cols>
    <col min="1" max="1" width="21.109375" bestFit="1" customWidth="1"/>
    <col min="2" max="2" width="15.33203125" customWidth="1"/>
    <col min="3" max="3" width="20.109375" customWidth="1"/>
    <col min="4" max="4" width="36.77734375" customWidth="1"/>
    <col min="5" max="6" width="23.44140625" customWidth="1"/>
    <col min="7" max="7" width="8" bestFit="1" customWidth="1"/>
    <col min="8" max="8" width="9.88671875" customWidth="1"/>
    <col min="9" max="9" width="10.44140625" customWidth="1"/>
    <col min="10" max="10" width="9.77734375" bestFit="1" customWidth="1"/>
    <col min="11" max="12" width="11.6640625" customWidth="1"/>
  </cols>
  <sheetData>
    <row r="2" spans="1:13" x14ac:dyDescent="0.3">
      <c r="A2" t="s">
        <v>22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  <c r="G2" t="s">
        <v>33</v>
      </c>
      <c r="H2" t="s">
        <v>34</v>
      </c>
      <c r="I2" t="s">
        <v>23</v>
      </c>
      <c r="J2" t="s">
        <v>24</v>
      </c>
      <c r="K2" t="s">
        <v>25</v>
      </c>
      <c r="L2" t="s">
        <v>30</v>
      </c>
      <c r="M2" t="s">
        <v>31</v>
      </c>
    </row>
    <row r="3" spans="1:13" x14ac:dyDescent="0.3">
      <c r="A3" s="7" t="s">
        <v>0</v>
      </c>
      <c r="B3" s="1">
        <v>784027</v>
      </c>
      <c r="C3" s="2">
        <v>1285</v>
      </c>
      <c r="D3" s="3">
        <v>1279</v>
      </c>
      <c r="E3" s="2">
        <v>153</v>
      </c>
      <c r="F3" s="2">
        <v>114</v>
      </c>
      <c r="G3" s="2">
        <v>613</v>
      </c>
      <c r="H3" s="8">
        <v>287</v>
      </c>
      <c r="I3" s="4">
        <f t="shared" ref="I3:I24" si="0">B3*0.07</f>
        <v>54881.890000000007</v>
      </c>
      <c r="J3" s="5">
        <f t="shared" ref="J3:J24" si="1">(B3*0.013)</f>
        <v>10192.350999999999</v>
      </c>
      <c r="K3" s="6">
        <f>I3+J3</f>
        <v>65074.241000000009</v>
      </c>
      <c r="L3">
        <v>2025</v>
      </c>
      <c r="M3">
        <v>11</v>
      </c>
    </row>
    <row r="4" spans="1:13" x14ac:dyDescent="0.3">
      <c r="A4" s="7" t="s">
        <v>1</v>
      </c>
      <c r="B4" s="1">
        <v>679130</v>
      </c>
      <c r="C4" s="2">
        <v>1159</v>
      </c>
      <c r="D4" s="3">
        <v>1130</v>
      </c>
      <c r="E4" s="2">
        <v>81</v>
      </c>
      <c r="F4" s="2">
        <v>102</v>
      </c>
      <c r="G4" s="2">
        <v>601</v>
      </c>
      <c r="H4" s="8">
        <v>198</v>
      </c>
      <c r="I4" s="4">
        <f t="shared" si="0"/>
        <v>47539.100000000006</v>
      </c>
      <c r="J4" s="5">
        <f t="shared" si="1"/>
        <v>8828.6899999999987</v>
      </c>
      <c r="K4" s="6">
        <f t="shared" ref="K4:K24" si="2">I4+J4</f>
        <v>56367.790000000008</v>
      </c>
      <c r="L4">
        <v>2025</v>
      </c>
      <c r="M4">
        <v>11</v>
      </c>
    </row>
    <row r="5" spans="1:13" x14ac:dyDescent="0.3">
      <c r="A5" s="7" t="s">
        <v>2</v>
      </c>
      <c r="B5" s="1">
        <v>840360</v>
      </c>
      <c r="C5" s="2">
        <v>1425</v>
      </c>
      <c r="D5" s="3">
        <v>1410</v>
      </c>
      <c r="E5" s="2">
        <v>106</v>
      </c>
      <c r="F5" s="2">
        <v>182</v>
      </c>
      <c r="G5" s="2">
        <v>596</v>
      </c>
      <c r="H5" s="8">
        <v>226</v>
      </c>
      <c r="I5" s="4">
        <f t="shared" si="0"/>
        <v>58825.200000000004</v>
      </c>
      <c r="J5" s="5">
        <f t="shared" si="1"/>
        <v>10924.68</v>
      </c>
      <c r="K5" s="6">
        <f t="shared" si="2"/>
        <v>69749.88</v>
      </c>
      <c r="L5">
        <v>2025</v>
      </c>
      <c r="M5">
        <v>11</v>
      </c>
    </row>
    <row r="6" spans="1:13" x14ac:dyDescent="0.3">
      <c r="A6" s="7" t="s">
        <v>3</v>
      </c>
      <c r="B6" s="1">
        <v>795739</v>
      </c>
      <c r="C6" s="2">
        <v>1337</v>
      </c>
      <c r="D6" s="3">
        <v>1351</v>
      </c>
      <c r="E6" s="2">
        <v>107</v>
      </c>
      <c r="F6" s="2">
        <v>121</v>
      </c>
      <c r="G6" s="2">
        <v>589</v>
      </c>
      <c r="H6" s="8">
        <v>225</v>
      </c>
      <c r="I6" s="4">
        <f t="shared" si="0"/>
        <v>55701.73</v>
      </c>
      <c r="J6" s="5">
        <f t="shared" si="1"/>
        <v>10344.607</v>
      </c>
      <c r="K6" s="6">
        <f t="shared" si="2"/>
        <v>66046.337</v>
      </c>
      <c r="L6">
        <v>2025</v>
      </c>
      <c r="M6">
        <v>11</v>
      </c>
    </row>
    <row r="7" spans="1:13" x14ac:dyDescent="0.3">
      <c r="A7" s="7" t="s">
        <v>4</v>
      </c>
      <c r="B7" s="1">
        <v>1124040</v>
      </c>
      <c r="C7" s="2">
        <v>1952</v>
      </c>
      <c r="D7" s="3">
        <v>1938</v>
      </c>
      <c r="E7" s="2">
        <v>158</v>
      </c>
      <c r="F7" s="2">
        <v>188</v>
      </c>
      <c r="G7" s="2">
        <v>580</v>
      </c>
      <c r="H7" s="8">
        <v>403</v>
      </c>
      <c r="I7" s="4">
        <f t="shared" si="0"/>
        <v>78682.8</v>
      </c>
      <c r="J7" s="5">
        <f t="shared" si="1"/>
        <v>14612.519999999999</v>
      </c>
      <c r="K7" s="6">
        <f t="shared" si="2"/>
        <v>93295.32</v>
      </c>
      <c r="L7">
        <v>2025</v>
      </c>
      <c r="M7">
        <v>11</v>
      </c>
    </row>
    <row r="8" spans="1:13" x14ac:dyDescent="0.3">
      <c r="A8" s="7" t="s">
        <v>5</v>
      </c>
      <c r="B8" s="1">
        <v>743862</v>
      </c>
      <c r="C8" s="2">
        <v>1261</v>
      </c>
      <c r="D8" s="3">
        <v>1246</v>
      </c>
      <c r="E8" s="2">
        <v>115</v>
      </c>
      <c r="F8" s="2">
        <v>126</v>
      </c>
      <c r="G8" s="2">
        <v>597</v>
      </c>
      <c r="H8" s="8">
        <v>221</v>
      </c>
      <c r="I8" s="4">
        <f t="shared" si="0"/>
        <v>52070.340000000004</v>
      </c>
      <c r="J8" s="5">
        <f t="shared" si="1"/>
        <v>9670.2060000000001</v>
      </c>
      <c r="K8" s="6">
        <f t="shared" si="2"/>
        <v>61740.546000000002</v>
      </c>
      <c r="L8">
        <v>2025</v>
      </c>
      <c r="M8">
        <v>11</v>
      </c>
    </row>
    <row r="9" spans="1:13" x14ac:dyDescent="0.3">
      <c r="A9" s="7" t="s">
        <v>6</v>
      </c>
      <c r="B9" s="1">
        <v>668627</v>
      </c>
      <c r="C9" s="2">
        <v>1043</v>
      </c>
      <c r="D9" s="3">
        <v>1063</v>
      </c>
      <c r="E9" s="2">
        <v>170</v>
      </c>
      <c r="F9" s="2">
        <v>128</v>
      </c>
      <c r="G9" s="2">
        <v>629</v>
      </c>
      <c r="H9" s="8">
        <v>236</v>
      </c>
      <c r="I9" s="4">
        <f t="shared" si="0"/>
        <v>46803.890000000007</v>
      </c>
      <c r="J9" s="5">
        <f t="shared" si="1"/>
        <v>8692.1509999999998</v>
      </c>
      <c r="K9" s="6">
        <f t="shared" si="2"/>
        <v>55496.041000000005</v>
      </c>
      <c r="L9">
        <v>2025</v>
      </c>
      <c r="M9">
        <v>11</v>
      </c>
    </row>
    <row r="10" spans="1:13" x14ac:dyDescent="0.3">
      <c r="A10" s="7" t="s">
        <v>7</v>
      </c>
      <c r="B10" s="1">
        <v>936600</v>
      </c>
      <c r="C10" s="2">
        <v>1682</v>
      </c>
      <c r="D10" s="3">
        <v>1561</v>
      </c>
      <c r="E10" s="2">
        <v>126</v>
      </c>
      <c r="F10" s="2">
        <v>202</v>
      </c>
      <c r="G10" s="2">
        <v>600</v>
      </c>
      <c r="H10" s="8">
        <v>419</v>
      </c>
      <c r="I10" s="4">
        <f t="shared" si="0"/>
        <v>65562</v>
      </c>
      <c r="J10" s="5">
        <f t="shared" si="1"/>
        <v>12175.8</v>
      </c>
      <c r="K10" s="6">
        <f t="shared" si="2"/>
        <v>77737.8</v>
      </c>
      <c r="L10">
        <v>2025</v>
      </c>
      <c r="M10">
        <v>11</v>
      </c>
    </row>
    <row r="11" spans="1:13" x14ac:dyDescent="0.3">
      <c r="A11" s="7" t="s">
        <v>8</v>
      </c>
      <c r="B11" s="1">
        <v>1595392</v>
      </c>
      <c r="C11" s="2">
        <v>2466</v>
      </c>
      <c r="D11" s="3">
        <v>2432</v>
      </c>
      <c r="E11" s="2">
        <v>258</v>
      </c>
      <c r="F11" s="2">
        <v>304</v>
      </c>
      <c r="G11" s="2">
        <v>656</v>
      </c>
      <c r="H11" s="8">
        <v>526</v>
      </c>
      <c r="I11" s="4">
        <f t="shared" si="0"/>
        <v>111677.44000000002</v>
      </c>
      <c r="J11" s="5">
        <f t="shared" si="1"/>
        <v>20740.095999999998</v>
      </c>
      <c r="K11" s="6">
        <f t="shared" si="2"/>
        <v>132417.53600000002</v>
      </c>
      <c r="L11">
        <v>2025</v>
      </c>
      <c r="M11">
        <v>11</v>
      </c>
    </row>
    <row r="12" spans="1:13" x14ac:dyDescent="0.3">
      <c r="A12" s="7" t="s">
        <v>9</v>
      </c>
      <c r="B12" s="1">
        <v>402441</v>
      </c>
      <c r="C12" s="2">
        <v>653</v>
      </c>
      <c r="D12" s="3">
        <v>663</v>
      </c>
      <c r="E12" s="2">
        <v>97</v>
      </c>
      <c r="F12" s="2">
        <v>83</v>
      </c>
      <c r="G12" s="2">
        <v>607</v>
      </c>
      <c r="H12" s="8">
        <v>154</v>
      </c>
      <c r="I12" s="4">
        <f t="shared" si="0"/>
        <v>28170.870000000003</v>
      </c>
      <c r="J12" s="5">
        <f t="shared" si="1"/>
        <v>5231.7330000000002</v>
      </c>
      <c r="K12" s="6">
        <f t="shared" si="2"/>
        <v>33402.603000000003</v>
      </c>
      <c r="L12">
        <v>2025</v>
      </c>
      <c r="M12">
        <v>11</v>
      </c>
    </row>
    <row r="13" spans="1:13" x14ac:dyDescent="0.3">
      <c r="A13" s="7" t="s">
        <v>10</v>
      </c>
      <c r="B13" s="1">
        <v>1132285</v>
      </c>
      <c r="C13" s="2">
        <v>1935</v>
      </c>
      <c r="D13" s="3">
        <v>1903</v>
      </c>
      <c r="E13" s="2">
        <v>177</v>
      </c>
      <c r="F13" s="2">
        <v>182</v>
      </c>
      <c r="G13" s="2">
        <v>595</v>
      </c>
      <c r="H13" s="8">
        <v>391</v>
      </c>
      <c r="I13" s="4">
        <f t="shared" si="0"/>
        <v>79259.950000000012</v>
      </c>
      <c r="J13" s="5">
        <f t="shared" si="1"/>
        <v>14719.705</v>
      </c>
      <c r="K13" s="6">
        <f t="shared" si="2"/>
        <v>93979.655000000013</v>
      </c>
      <c r="L13">
        <v>2025</v>
      </c>
      <c r="M13">
        <v>11</v>
      </c>
    </row>
    <row r="14" spans="1:13" x14ac:dyDescent="0.3">
      <c r="A14" s="7" t="s">
        <v>11</v>
      </c>
      <c r="B14" s="1">
        <v>1092854</v>
      </c>
      <c r="C14" s="2">
        <v>1785</v>
      </c>
      <c r="D14" s="3">
        <v>1757</v>
      </c>
      <c r="E14" s="2">
        <v>164</v>
      </c>
      <c r="F14" s="2">
        <v>168</v>
      </c>
      <c r="G14" s="2">
        <v>622</v>
      </c>
      <c r="H14" s="8">
        <v>377</v>
      </c>
      <c r="I14" s="4">
        <f t="shared" si="0"/>
        <v>76499.780000000013</v>
      </c>
      <c r="J14" s="5">
        <f t="shared" si="1"/>
        <v>14207.101999999999</v>
      </c>
      <c r="K14" s="6">
        <f t="shared" si="2"/>
        <v>90706.882000000012</v>
      </c>
      <c r="L14">
        <v>2025</v>
      </c>
      <c r="M14">
        <v>11</v>
      </c>
    </row>
    <row r="15" spans="1:13" x14ac:dyDescent="0.3">
      <c r="A15" s="7" t="s">
        <v>12</v>
      </c>
      <c r="B15" s="1">
        <v>759536</v>
      </c>
      <c r="C15" s="2">
        <v>1214</v>
      </c>
      <c r="D15" s="3">
        <v>1283</v>
      </c>
      <c r="E15" s="2">
        <v>132</v>
      </c>
      <c r="F15" s="2">
        <v>123</v>
      </c>
      <c r="G15" s="2">
        <v>592</v>
      </c>
      <c r="H15" s="8">
        <v>168</v>
      </c>
      <c r="I15" s="4">
        <f t="shared" si="0"/>
        <v>53167.520000000004</v>
      </c>
      <c r="J15" s="5">
        <f t="shared" si="1"/>
        <v>9873.9679999999989</v>
      </c>
      <c r="K15" s="6">
        <f t="shared" si="2"/>
        <v>63041.488000000005</v>
      </c>
      <c r="L15">
        <v>2025</v>
      </c>
      <c r="M15">
        <v>11</v>
      </c>
    </row>
    <row r="16" spans="1:13" x14ac:dyDescent="0.3">
      <c r="A16" s="7" t="s">
        <v>13</v>
      </c>
      <c r="B16" s="1">
        <v>877058</v>
      </c>
      <c r="C16" s="2">
        <v>1602</v>
      </c>
      <c r="D16" s="3">
        <v>1586</v>
      </c>
      <c r="E16" s="2">
        <v>120</v>
      </c>
      <c r="F16" s="2">
        <v>159</v>
      </c>
      <c r="G16" s="2">
        <v>553</v>
      </c>
      <c r="H16" s="8">
        <v>250</v>
      </c>
      <c r="I16" s="4">
        <f t="shared" si="0"/>
        <v>61394.060000000005</v>
      </c>
      <c r="J16" s="5">
        <f t="shared" si="1"/>
        <v>11401.753999999999</v>
      </c>
      <c r="K16" s="6">
        <f t="shared" si="2"/>
        <v>72795.813999999998</v>
      </c>
      <c r="L16">
        <v>2025</v>
      </c>
      <c r="M16">
        <v>11</v>
      </c>
    </row>
    <row r="17" spans="1:13" x14ac:dyDescent="0.3">
      <c r="A17" s="7" t="s">
        <v>14</v>
      </c>
      <c r="B17" s="1">
        <v>848085</v>
      </c>
      <c r="C17" s="2">
        <v>1450</v>
      </c>
      <c r="D17" s="3">
        <v>1435</v>
      </c>
      <c r="E17" s="2">
        <v>116</v>
      </c>
      <c r="F17" s="2">
        <v>147</v>
      </c>
      <c r="G17" s="2">
        <v>591</v>
      </c>
      <c r="H17" s="8">
        <v>255</v>
      </c>
      <c r="I17" s="4">
        <f t="shared" si="0"/>
        <v>59365.950000000004</v>
      </c>
      <c r="J17" s="5">
        <f t="shared" si="1"/>
        <v>11025.105</v>
      </c>
      <c r="K17" s="6">
        <f t="shared" si="2"/>
        <v>70391.055000000008</v>
      </c>
      <c r="L17">
        <v>2025</v>
      </c>
      <c r="M17">
        <v>11</v>
      </c>
    </row>
    <row r="18" spans="1:13" x14ac:dyDescent="0.3">
      <c r="A18" s="7" t="s">
        <v>15</v>
      </c>
      <c r="B18" s="1">
        <v>693528</v>
      </c>
      <c r="C18" s="2">
        <v>1258</v>
      </c>
      <c r="D18" s="3">
        <v>1221</v>
      </c>
      <c r="E18" s="2">
        <v>101</v>
      </c>
      <c r="F18" s="2">
        <v>101</v>
      </c>
      <c r="G18" s="2">
        <v>568</v>
      </c>
      <c r="H18" s="8">
        <v>254</v>
      </c>
      <c r="I18" s="4">
        <f t="shared" si="0"/>
        <v>48546.960000000006</v>
      </c>
      <c r="J18" s="5">
        <f t="shared" si="1"/>
        <v>9015.8639999999996</v>
      </c>
      <c r="K18" s="6">
        <f t="shared" si="2"/>
        <v>57562.824000000008</v>
      </c>
      <c r="L18">
        <v>2025</v>
      </c>
      <c r="M18">
        <v>11</v>
      </c>
    </row>
    <row r="19" spans="1:13" x14ac:dyDescent="0.3">
      <c r="A19" s="7" t="s">
        <v>16</v>
      </c>
      <c r="B19" s="1">
        <v>604128</v>
      </c>
      <c r="C19" s="2">
        <v>1016</v>
      </c>
      <c r="D19" s="3">
        <v>992</v>
      </c>
      <c r="E19" s="2">
        <v>106</v>
      </c>
      <c r="F19" s="2">
        <v>106</v>
      </c>
      <c r="G19" s="2">
        <v>609</v>
      </c>
      <c r="H19" s="8">
        <v>242</v>
      </c>
      <c r="I19" s="4">
        <f t="shared" si="0"/>
        <v>42288.960000000006</v>
      </c>
      <c r="J19" s="5">
        <f t="shared" si="1"/>
        <v>7853.6639999999998</v>
      </c>
      <c r="K19" s="6">
        <f t="shared" si="2"/>
        <v>50142.624000000003</v>
      </c>
      <c r="L19">
        <v>2025</v>
      </c>
      <c r="M19">
        <v>11</v>
      </c>
    </row>
    <row r="20" spans="1:13" x14ac:dyDescent="0.3">
      <c r="A20" s="7" t="s">
        <v>17</v>
      </c>
      <c r="B20" s="1">
        <v>1107792</v>
      </c>
      <c r="C20" s="2">
        <v>1765</v>
      </c>
      <c r="D20" s="3">
        <v>1764</v>
      </c>
      <c r="E20" s="2">
        <v>155</v>
      </c>
      <c r="F20" s="2">
        <v>149</v>
      </c>
      <c r="G20" s="2">
        <v>628</v>
      </c>
      <c r="H20" s="8">
        <v>309</v>
      </c>
      <c r="I20" s="4">
        <f t="shared" si="0"/>
        <v>77545.440000000002</v>
      </c>
      <c r="J20" s="5">
        <f t="shared" si="1"/>
        <v>14401.295999999998</v>
      </c>
      <c r="K20" s="6">
        <f t="shared" si="2"/>
        <v>91946.736000000004</v>
      </c>
      <c r="L20">
        <v>2025</v>
      </c>
      <c r="M20">
        <v>11</v>
      </c>
    </row>
    <row r="21" spans="1:13" x14ac:dyDescent="0.3">
      <c r="A21" s="7" t="s">
        <v>18</v>
      </c>
      <c r="B21" s="1">
        <v>598484</v>
      </c>
      <c r="C21" s="2">
        <v>912</v>
      </c>
      <c r="D21" s="3">
        <v>953</v>
      </c>
      <c r="E21" s="2">
        <v>129</v>
      </c>
      <c r="F21" s="2">
        <v>101</v>
      </c>
      <c r="G21" s="2">
        <v>628</v>
      </c>
      <c r="H21" s="8">
        <v>164</v>
      </c>
      <c r="I21" s="4">
        <f t="shared" si="0"/>
        <v>41893.880000000005</v>
      </c>
      <c r="J21" s="5">
        <f t="shared" si="1"/>
        <v>7780.2919999999995</v>
      </c>
      <c r="K21" s="6">
        <f t="shared" si="2"/>
        <v>49674.172000000006</v>
      </c>
      <c r="L21">
        <v>2025</v>
      </c>
      <c r="M21">
        <v>11</v>
      </c>
    </row>
    <row r="22" spans="1:13" x14ac:dyDescent="0.3">
      <c r="A22" s="7" t="s">
        <v>19</v>
      </c>
      <c r="B22" s="1">
        <v>808264</v>
      </c>
      <c r="C22" s="2">
        <v>1427</v>
      </c>
      <c r="D22" s="3">
        <v>1423</v>
      </c>
      <c r="E22" s="2">
        <v>142</v>
      </c>
      <c r="F22" s="2">
        <v>98</v>
      </c>
      <c r="G22" s="2">
        <v>568</v>
      </c>
      <c r="H22" s="8">
        <v>250</v>
      </c>
      <c r="I22" s="4">
        <f t="shared" si="0"/>
        <v>56578.48</v>
      </c>
      <c r="J22" s="5">
        <f t="shared" si="1"/>
        <v>10507.431999999999</v>
      </c>
      <c r="K22" s="6">
        <f t="shared" si="2"/>
        <v>67085.911999999997</v>
      </c>
      <c r="L22">
        <v>2025</v>
      </c>
      <c r="M22">
        <v>11</v>
      </c>
    </row>
    <row r="23" spans="1:13" x14ac:dyDescent="0.3">
      <c r="A23" s="7" t="s">
        <v>20</v>
      </c>
      <c r="B23" s="1">
        <v>789960</v>
      </c>
      <c r="C23" s="2">
        <v>1168</v>
      </c>
      <c r="D23" s="3">
        <v>1160</v>
      </c>
      <c r="E23" s="2">
        <v>115</v>
      </c>
      <c r="F23" s="2">
        <v>137</v>
      </c>
      <c r="G23" s="2">
        <v>681</v>
      </c>
      <c r="H23" s="8">
        <v>172</v>
      </c>
      <c r="I23" s="4">
        <f t="shared" si="0"/>
        <v>55297.200000000004</v>
      </c>
      <c r="J23" s="5">
        <f t="shared" si="1"/>
        <v>10269.48</v>
      </c>
      <c r="K23" s="6">
        <f t="shared" si="2"/>
        <v>65566.680000000008</v>
      </c>
      <c r="L23">
        <v>2025</v>
      </c>
      <c r="M23">
        <v>11</v>
      </c>
    </row>
    <row r="24" spans="1:13" x14ac:dyDescent="0.3">
      <c r="A24" s="7" t="s">
        <v>21</v>
      </c>
      <c r="B24" s="1">
        <v>961074</v>
      </c>
      <c r="C24" s="2">
        <v>1273</v>
      </c>
      <c r="D24" s="3">
        <v>1497</v>
      </c>
      <c r="E24" s="2">
        <v>315</v>
      </c>
      <c r="F24" s="2">
        <v>1</v>
      </c>
      <c r="G24" s="2">
        <v>642</v>
      </c>
      <c r="H24" s="8">
        <v>47</v>
      </c>
      <c r="I24" s="4">
        <f t="shared" si="0"/>
        <v>67275.180000000008</v>
      </c>
      <c r="J24" s="5">
        <f t="shared" si="1"/>
        <v>12493.962</v>
      </c>
      <c r="K24" s="6">
        <f t="shared" si="2"/>
        <v>79769.142000000007</v>
      </c>
      <c r="L24">
        <v>2025</v>
      </c>
      <c r="M24">
        <v>11</v>
      </c>
    </row>
    <row r="25" spans="1:13" x14ac:dyDescent="0.3">
      <c r="A25" s="9" t="s">
        <v>0</v>
      </c>
      <c r="B25" s="10">
        <v>697323</v>
      </c>
      <c r="C25" s="8">
        <v>1313</v>
      </c>
      <c r="D25" s="11">
        <v>1376</v>
      </c>
      <c r="E25" s="8">
        <v>111</v>
      </c>
      <c r="F25" s="2">
        <v>125</v>
      </c>
      <c r="G25" s="2">
        <v>507</v>
      </c>
      <c r="H25" s="2">
        <v>173</v>
      </c>
      <c r="I25" s="12">
        <f t="shared" ref="I25:I46" si="3">B25*0.07</f>
        <v>48812.610000000008</v>
      </c>
      <c r="J25" s="13">
        <f t="shared" ref="J25:J46" si="4">(B25*0.013)</f>
        <v>9065.1989999999987</v>
      </c>
      <c r="K25" s="14">
        <f>I25+J25</f>
        <v>57877.809000000008</v>
      </c>
      <c r="L25">
        <v>2025</v>
      </c>
      <c r="M25">
        <v>12</v>
      </c>
    </row>
    <row r="26" spans="1:13" x14ac:dyDescent="0.3">
      <c r="A26" s="9" t="s">
        <v>1</v>
      </c>
      <c r="B26" s="10">
        <v>567196</v>
      </c>
      <c r="C26" s="8">
        <v>1133</v>
      </c>
      <c r="D26" s="11">
        <v>1100</v>
      </c>
      <c r="E26" s="8">
        <v>46</v>
      </c>
      <c r="F26" s="2">
        <v>108</v>
      </c>
      <c r="G26" s="2">
        <v>516</v>
      </c>
      <c r="H26" s="2">
        <v>187</v>
      </c>
      <c r="I26" s="12">
        <f t="shared" si="3"/>
        <v>39703.72</v>
      </c>
      <c r="J26" s="13">
        <f t="shared" si="4"/>
        <v>7373.5479999999998</v>
      </c>
      <c r="K26" s="14">
        <f t="shared" ref="K26:K46" si="5">I26+J26</f>
        <v>47077.268000000004</v>
      </c>
      <c r="L26">
        <v>2025</v>
      </c>
      <c r="M26">
        <v>12</v>
      </c>
    </row>
    <row r="27" spans="1:13" x14ac:dyDescent="0.3">
      <c r="A27" s="9" t="s">
        <v>2</v>
      </c>
      <c r="B27" s="10">
        <v>644042</v>
      </c>
      <c r="C27" s="8">
        <v>1317</v>
      </c>
      <c r="D27" s="11">
        <v>1261</v>
      </c>
      <c r="E27" s="8">
        <v>52</v>
      </c>
      <c r="F27" s="2">
        <v>104</v>
      </c>
      <c r="G27" s="2">
        <v>511</v>
      </c>
      <c r="H27" s="2">
        <v>212</v>
      </c>
      <c r="I27" s="12">
        <f t="shared" si="3"/>
        <v>45082.94</v>
      </c>
      <c r="J27" s="13">
        <f t="shared" si="4"/>
        <v>8372.5460000000003</v>
      </c>
      <c r="K27" s="14">
        <f t="shared" si="5"/>
        <v>53455.486000000004</v>
      </c>
      <c r="L27">
        <v>2025</v>
      </c>
      <c r="M27">
        <v>12</v>
      </c>
    </row>
    <row r="28" spans="1:13" x14ac:dyDescent="0.3">
      <c r="A28" s="9" t="s">
        <v>3</v>
      </c>
      <c r="B28" s="10">
        <v>639890</v>
      </c>
      <c r="C28" s="8">
        <v>1302</v>
      </c>
      <c r="D28" s="11">
        <v>1284</v>
      </c>
      <c r="E28" s="8">
        <v>69</v>
      </c>
      <c r="F28" s="2">
        <v>99</v>
      </c>
      <c r="G28" s="2">
        <v>498</v>
      </c>
      <c r="H28" s="2">
        <v>186</v>
      </c>
      <c r="I28" s="12">
        <f t="shared" si="3"/>
        <v>44792.3</v>
      </c>
      <c r="J28" s="13">
        <f t="shared" si="4"/>
        <v>8318.57</v>
      </c>
      <c r="K28" s="14">
        <f t="shared" si="5"/>
        <v>53110.87</v>
      </c>
      <c r="L28">
        <v>2025</v>
      </c>
      <c r="M28">
        <v>12</v>
      </c>
    </row>
    <row r="29" spans="1:13" x14ac:dyDescent="0.3">
      <c r="A29" s="9" t="s">
        <v>4</v>
      </c>
      <c r="B29" s="10">
        <v>1077278</v>
      </c>
      <c r="C29" s="8">
        <v>1929</v>
      </c>
      <c r="D29" s="11">
        <v>1956</v>
      </c>
      <c r="E29" s="8">
        <v>104</v>
      </c>
      <c r="F29" s="2">
        <v>186</v>
      </c>
      <c r="G29" s="2">
        <v>551</v>
      </c>
      <c r="H29" s="2">
        <v>263</v>
      </c>
      <c r="I29" s="12">
        <f t="shared" si="3"/>
        <v>75409.460000000006</v>
      </c>
      <c r="J29" s="13">
        <f t="shared" si="4"/>
        <v>14004.614</v>
      </c>
      <c r="K29" s="14">
        <f t="shared" si="5"/>
        <v>89414.074000000008</v>
      </c>
      <c r="L29">
        <v>2025</v>
      </c>
      <c r="M29">
        <v>12</v>
      </c>
    </row>
    <row r="30" spans="1:13" x14ac:dyDescent="0.3">
      <c r="A30" s="9" t="s">
        <v>5</v>
      </c>
      <c r="B30" s="10">
        <v>598877</v>
      </c>
      <c r="C30" s="8">
        <v>1187</v>
      </c>
      <c r="D30" s="11">
        <v>1186</v>
      </c>
      <c r="E30" s="8">
        <v>73</v>
      </c>
      <c r="F30" s="2">
        <v>111</v>
      </c>
      <c r="G30" s="2">
        <v>505</v>
      </c>
      <c r="H30" s="2">
        <v>185</v>
      </c>
      <c r="I30" s="12">
        <f t="shared" si="3"/>
        <v>41921.390000000007</v>
      </c>
      <c r="J30" s="13">
        <f t="shared" si="4"/>
        <v>7785.4009999999998</v>
      </c>
      <c r="K30" s="14">
        <f t="shared" si="5"/>
        <v>49706.791000000005</v>
      </c>
      <c r="L30">
        <v>2025</v>
      </c>
      <c r="M30">
        <v>12</v>
      </c>
    </row>
    <row r="31" spans="1:13" x14ac:dyDescent="0.3">
      <c r="A31" s="9" t="s">
        <v>6</v>
      </c>
      <c r="B31" s="10">
        <v>557412</v>
      </c>
      <c r="C31" s="8">
        <v>1028</v>
      </c>
      <c r="D31" s="11">
        <v>1040</v>
      </c>
      <c r="E31" s="8">
        <v>80</v>
      </c>
      <c r="F31" s="2">
        <v>80</v>
      </c>
      <c r="G31" s="2">
        <v>536</v>
      </c>
      <c r="H31" s="2">
        <v>149</v>
      </c>
      <c r="I31" s="12">
        <f t="shared" si="3"/>
        <v>39018.840000000004</v>
      </c>
      <c r="J31" s="13">
        <f t="shared" si="4"/>
        <v>7246.3559999999998</v>
      </c>
      <c r="K31" s="14">
        <f t="shared" si="5"/>
        <v>46265.196000000004</v>
      </c>
      <c r="L31">
        <v>2025</v>
      </c>
      <c r="M31">
        <v>12</v>
      </c>
    </row>
    <row r="32" spans="1:13" x14ac:dyDescent="0.3">
      <c r="A32" s="9" t="s">
        <v>7</v>
      </c>
      <c r="B32" s="10">
        <v>899843</v>
      </c>
      <c r="C32" s="8">
        <v>1626</v>
      </c>
      <c r="D32" s="11">
        <v>1626</v>
      </c>
      <c r="E32" s="8">
        <v>114</v>
      </c>
      <c r="F32" s="2">
        <v>153</v>
      </c>
      <c r="G32" s="2">
        <v>554</v>
      </c>
      <c r="H32" s="2">
        <v>267</v>
      </c>
      <c r="I32" s="12">
        <f t="shared" si="3"/>
        <v>62989.010000000009</v>
      </c>
      <c r="J32" s="13">
        <f t="shared" si="4"/>
        <v>11697.958999999999</v>
      </c>
      <c r="K32" s="14">
        <f t="shared" si="5"/>
        <v>74686.969000000012</v>
      </c>
      <c r="L32">
        <v>2025</v>
      </c>
      <c r="M32">
        <v>12</v>
      </c>
    </row>
    <row r="33" spans="1:13" x14ac:dyDescent="0.3">
      <c r="A33" s="9" t="s">
        <v>8</v>
      </c>
      <c r="B33" s="10">
        <v>1423976</v>
      </c>
      <c r="C33" s="8">
        <v>2291</v>
      </c>
      <c r="D33" s="11">
        <v>2214</v>
      </c>
      <c r="E33" s="8">
        <v>151</v>
      </c>
      <c r="F33" s="2">
        <v>231</v>
      </c>
      <c r="G33" s="2">
        <v>643</v>
      </c>
      <c r="H33" s="2">
        <v>459</v>
      </c>
      <c r="I33" s="12">
        <f t="shared" si="3"/>
        <v>99678.32</v>
      </c>
      <c r="J33" s="13">
        <f t="shared" si="4"/>
        <v>18511.687999999998</v>
      </c>
      <c r="K33" s="14">
        <f t="shared" si="5"/>
        <v>118190.008</v>
      </c>
      <c r="L33">
        <v>2025</v>
      </c>
      <c r="M33">
        <v>12</v>
      </c>
    </row>
    <row r="34" spans="1:13" x14ac:dyDescent="0.3">
      <c r="A34" s="9" t="s">
        <v>9</v>
      </c>
      <c r="B34" s="10">
        <v>402380</v>
      </c>
      <c r="C34" s="8">
        <v>608</v>
      </c>
      <c r="D34" s="11">
        <v>602</v>
      </c>
      <c r="E34" s="8">
        <v>46</v>
      </c>
      <c r="F34" s="2">
        <v>58</v>
      </c>
      <c r="G34" s="2">
        <v>668</v>
      </c>
      <c r="H34" s="2">
        <v>110</v>
      </c>
      <c r="I34" s="12">
        <f t="shared" si="3"/>
        <v>28166.600000000002</v>
      </c>
      <c r="J34" s="13">
        <f t="shared" si="4"/>
        <v>5230.9399999999996</v>
      </c>
      <c r="K34" s="14">
        <f t="shared" si="5"/>
        <v>33397.54</v>
      </c>
      <c r="L34">
        <v>2025</v>
      </c>
      <c r="M34">
        <v>12</v>
      </c>
    </row>
    <row r="35" spans="1:13" x14ac:dyDescent="0.3">
      <c r="A35" s="9" t="s">
        <v>10</v>
      </c>
      <c r="B35" s="10">
        <v>1104537</v>
      </c>
      <c r="C35" s="8">
        <v>1850</v>
      </c>
      <c r="D35" s="11">
        <v>1818</v>
      </c>
      <c r="E35" s="8">
        <v>113</v>
      </c>
      <c r="F35" s="2">
        <v>186</v>
      </c>
      <c r="G35" s="2">
        <v>608</v>
      </c>
      <c r="H35" s="2">
        <v>331</v>
      </c>
      <c r="I35" s="12">
        <f t="shared" si="3"/>
        <v>77317.590000000011</v>
      </c>
      <c r="J35" s="13">
        <f t="shared" si="4"/>
        <v>14358.981</v>
      </c>
      <c r="K35" s="14">
        <f t="shared" si="5"/>
        <v>91676.571000000011</v>
      </c>
      <c r="L35">
        <v>2025</v>
      </c>
      <c r="M35">
        <v>12</v>
      </c>
    </row>
    <row r="36" spans="1:13" x14ac:dyDescent="0.3">
      <c r="A36" s="9" t="s">
        <v>11</v>
      </c>
      <c r="B36" s="10">
        <v>1049800</v>
      </c>
      <c r="C36" s="8">
        <v>1665</v>
      </c>
      <c r="D36" s="11">
        <v>1589</v>
      </c>
      <c r="E36" s="8">
        <v>120</v>
      </c>
      <c r="F36" s="2">
        <v>143</v>
      </c>
      <c r="G36" s="2">
        <v>661</v>
      </c>
      <c r="H36" s="2">
        <v>339</v>
      </c>
      <c r="I36" s="12">
        <f t="shared" si="3"/>
        <v>73486</v>
      </c>
      <c r="J36" s="13">
        <f t="shared" si="4"/>
        <v>13647.4</v>
      </c>
      <c r="K36" s="14">
        <f t="shared" si="5"/>
        <v>87133.4</v>
      </c>
      <c r="L36">
        <v>2025</v>
      </c>
      <c r="M36">
        <v>12</v>
      </c>
    </row>
    <row r="37" spans="1:13" x14ac:dyDescent="0.3">
      <c r="A37" s="9" t="s">
        <v>12</v>
      </c>
      <c r="B37" s="10">
        <v>635875</v>
      </c>
      <c r="C37" s="8">
        <v>1176</v>
      </c>
      <c r="D37" s="11">
        <v>1157</v>
      </c>
      <c r="E37" s="8">
        <v>77</v>
      </c>
      <c r="F37" s="2">
        <v>83</v>
      </c>
      <c r="G37" s="2">
        <v>550</v>
      </c>
      <c r="H37" s="2">
        <v>179</v>
      </c>
      <c r="I37" s="12">
        <f t="shared" si="3"/>
        <v>44511.250000000007</v>
      </c>
      <c r="J37" s="13">
        <f t="shared" si="4"/>
        <v>8266.375</v>
      </c>
      <c r="K37" s="14">
        <f t="shared" si="5"/>
        <v>52777.625000000007</v>
      </c>
      <c r="L37">
        <v>2025</v>
      </c>
      <c r="M37">
        <v>12</v>
      </c>
    </row>
    <row r="38" spans="1:13" x14ac:dyDescent="0.3">
      <c r="A38" s="9" t="s">
        <v>13</v>
      </c>
      <c r="B38" s="10">
        <v>771010</v>
      </c>
      <c r="C38" s="8">
        <v>1613</v>
      </c>
      <c r="D38" s="11">
        <v>1599</v>
      </c>
      <c r="E38" s="8">
        <v>68</v>
      </c>
      <c r="F38" s="2">
        <v>129</v>
      </c>
      <c r="G38" s="2">
        <v>482</v>
      </c>
      <c r="H38" s="2">
        <v>211</v>
      </c>
      <c r="I38" s="12">
        <f t="shared" si="3"/>
        <v>53970.700000000004</v>
      </c>
      <c r="J38" s="13">
        <f t="shared" si="4"/>
        <v>10023.129999999999</v>
      </c>
      <c r="K38" s="14">
        <f t="shared" si="5"/>
        <v>63993.83</v>
      </c>
      <c r="L38">
        <v>2025</v>
      </c>
      <c r="M38">
        <v>12</v>
      </c>
    </row>
    <row r="39" spans="1:13" x14ac:dyDescent="0.3">
      <c r="A39" s="9" t="s">
        <v>14</v>
      </c>
      <c r="B39" s="10">
        <v>709884</v>
      </c>
      <c r="C39" s="8">
        <v>1411</v>
      </c>
      <c r="D39" s="11">
        <v>1379</v>
      </c>
      <c r="E39" s="8">
        <v>62</v>
      </c>
      <c r="F39" s="2">
        <v>109</v>
      </c>
      <c r="G39" s="2">
        <v>515</v>
      </c>
      <c r="H39" s="2">
        <v>204</v>
      </c>
      <c r="I39" s="12">
        <f t="shared" si="3"/>
        <v>49691.880000000005</v>
      </c>
      <c r="J39" s="13">
        <f t="shared" si="4"/>
        <v>9228.4920000000002</v>
      </c>
      <c r="K39" s="14">
        <f t="shared" si="5"/>
        <v>58920.372000000003</v>
      </c>
      <c r="L39">
        <v>2025</v>
      </c>
      <c r="M39">
        <v>12</v>
      </c>
    </row>
    <row r="40" spans="1:13" x14ac:dyDescent="0.3">
      <c r="A40" s="9" t="s">
        <v>15</v>
      </c>
      <c r="B40" s="10">
        <v>629064</v>
      </c>
      <c r="C40" s="8">
        <v>1209</v>
      </c>
      <c r="D40" s="11">
        <v>1222</v>
      </c>
      <c r="E40" s="8">
        <v>55</v>
      </c>
      <c r="F40" s="2">
        <v>126</v>
      </c>
      <c r="G40" s="2">
        <v>515</v>
      </c>
      <c r="H40" s="2">
        <v>168</v>
      </c>
      <c r="I40" s="12">
        <f t="shared" si="3"/>
        <v>44034.48</v>
      </c>
      <c r="J40" s="13">
        <f t="shared" si="4"/>
        <v>8177.8319999999994</v>
      </c>
      <c r="K40" s="14">
        <f t="shared" si="5"/>
        <v>52212.312000000005</v>
      </c>
      <c r="L40">
        <v>2025</v>
      </c>
      <c r="M40">
        <v>12</v>
      </c>
    </row>
    <row r="41" spans="1:13" x14ac:dyDescent="0.3">
      <c r="A41" s="9" t="s">
        <v>16</v>
      </c>
      <c r="B41" s="10">
        <v>610301</v>
      </c>
      <c r="C41" s="8">
        <v>1015</v>
      </c>
      <c r="D41" s="11">
        <v>1030</v>
      </c>
      <c r="E41" s="8">
        <v>79</v>
      </c>
      <c r="F41" s="2">
        <v>94</v>
      </c>
      <c r="G41" s="2">
        <v>593</v>
      </c>
      <c r="H41" s="2">
        <v>158</v>
      </c>
      <c r="I41" s="12">
        <f t="shared" si="3"/>
        <v>42721.070000000007</v>
      </c>
      <c r="J41" s="13">
        <f t="shared" si="4"/>
        <v>7933.9129999999996</v>
      </c>
      <c r="K41" s="14">
        <f t="shared" si="5"/>
        <v>50654.983000000007</v>
      </c>
      <c r="L41">
        <v>2025</v>
      </c>
      <c r="M41">
        <v>12</v>
      </c>
    </row>
    <row r="42" spans="1:13" x14ac:dyDescent="0.3">
      <c r="A42" s="9" t="s">
        <v>17</v>
      </c>
      <c r="B42" s="10">
        <v>887971</v>
      </c>
      <c r="C42" s="8">
        <v>1707</v>
      </c>
      <c r="D42" s="11">
        <v>1687</v>
      </c>
      <c r="E42" s="8">
        <v>88</v>
      </c>
      <c r="F42" s="2">
        <v>157</v>
      </c>
      <c r="G42" s="2">
        <v>526</v>
      </c>
      <c r="H42" s="2">
        <v>265</v>
      </c>
      <c r="I42" s="12">
        <f t="shared" si="3"/>
        <v>62157.970000000008</v>
      </c>
      <c r="J42" s="13">
        <f t="shared" si="4"/>
        <v>11543.623</v>
      </c>
      <c r="K42" s="14">
        <f t="shared" si="5"/>
        <v>73701.593000000008</v>
      </c>
      <c r="L42">
        <v>2025</v>
      </c>
      <c r="M42">
        <v>12</v>
      </c>
    </row>
    <row r="43" spans="1:13" x14ac:dyDescent="0.3">
      <c r="A43" s="9" t="s">
        <v>18</v>
      </c>
      <c r="B43" s="10">
        <v>476113</v>
      </c>
      <c r="C43" s="8">
        <v>846</v>
      </c>
      <c r="D43" s="11">
        <v>832</v>
      </c>
      <c r="E43" s="8">
        <v>65</v>
      </c>
      <c r="F43" s="2">
        <v>60</v>
      </c>
      <c r="G43" s="2">
        <v>572</v>
      </c>
      <c r="H43" s="2">
        <v>139</v>
      </c>
      <c r="I43" s="12">
        <f t="shared" si="3"/>
        <v>33327.910000000003</v>
      </c>
      <c r="J43" s="13">
        <f t="shared" si="4"/>
        <v>6189.4690000000001</v>
      </c>
      <c r="K43" s="14">
        <f t="shared" si="5"/>
        <v>39517.379000000001</v>
      </c>
      <c r="L43">
        <v>2025</v>
      </c>
      <c r="M43">
        <v>12</v>
      </c>
    </row>
    <row r="44" spans="1:13" x14ac:dyDescent="0.3">
      <c r="A44" s="9" t="s">
        <v>19</v>
      </c>
      <c r="B44" s="10">
        <v>749208</v>
      </c>
      <c r="C44" s="8">
        <v>1380</v>
      </c>
      <c r="D44" s="11">
        <v>1331</v>
      </c>
      <c r="E44" s="8">
        <v>68</v>
      </c>
      <c r="F44" s="2">
        <v>75</v>
      </c>
      <c r="G44" s="2">
        <v>563</v>
      </c>
      <c r="H44" s="2">
        <v>193</v>
      </c>
      <c r="I44" s="12">
        <f t="shared" si="3"/>
        <v>52444.560000000005</v>
      </c>
      <c r="J44" s="13">
        <f t="shared" si="4"/>
        <v>9739.7039999999997</v>
      </c>
      <c r="K44" s="14">
        <f t="shared" si="5"/>
        <v>62184.264000000003</v>
      </c>
      <c r="L44">
        <v>2025</v>
      </c>
      <c r="M44">
        <v>12</v>
      </c>
    </row>
    <row r="45" spans="1:13" x14ac:dyDescent="0.3">
      <c r="A45" s="9" t="s">
        <v>20</v>
      </c>
      <c r="B45" s="10">
        <v>695990</v>
      </c>
      <c r="C45" s="8">
        <v>1131</v>
      </c>
      <c r="D45" s="11">
        <v>1107</v>
      </c>
      <c r="E45" s="8">
        <v>59</v>
      </c>
      <c r="F45" s="2">
        <v>51</v>
      </c>
      <c r="G45" s="2">
        <v>629</v>
      </c>
      <c r="H45" s="2">
        <v>134</v>
      </c>
      <c r="I45" s="12">
        <f t="shared" si="3"/>
        <v>48719.3</v>
      </c>
      <c r="J45" s="13">
        <f t="shared" si="4"/>
        <v>9047.869999999999</v>
      </c>
      <c r="K45" s="14">
        <f t="shared" si="5"/>
        <v>57767.17</v>
      </c>
      <c r="L45">
        <v>2025</v>
      </c>
      <c r="M45">
        <v>12</v>
      </c>
    </row>
    <row r="46" spans="1:13" x14ac:dyDescent="0.3">
      <c r="A46" s="15" t="s">
        <v>21</v>
      </c>
      <c r="B46" s="16">
        <v>1175274</v>
      </c>
      <c r="C46" s="17">
        <v>1462</v>
      </c>
      <c r="D46" s="18">
        <v>1590</v>
      </c>
      <c r="E46" s="17">
        <v>309</v>
      </c>
      <c r="F46" s="19">
        <v>76</v>
      </c>
      <c r="G46" s="2">
        <v>728</v>
      </c>
      <c r="H46" s="19">
        <v>198</v>
      </c>
      <c r="I46" s="20">
        <f t="shared" si="3"/>
        <v>82269.180000000008</v>
      </c>
      <c r="J46" s="21">
        <f t="shared" si="4"/>
        <v>15278.562</v>
      </c>
      <c r="K46" s="22">
        <f t="shared" si="5"/>
        <v>97547.742000000013</v>
      </c>
      <c r="L46">
        <v>2025</v>
      </c>
      <c r="M46">
        <v>12</v>
      </c>
    </row>
  </sheetData>
  <conditionalFormatting sqref="B3:B46">
    <cfRule type="cellIs" dxfId="0" priority="2" operator="lessThan">
      <formula>10020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BOJORQUEZ RODRIGUEZ</dc:creator>
  <cp:lastModifiedBy>GABRIELA BOJORQUEZ RODRIGUEZ</cp:lastModifiedBy>
  <dcterms:created xsi:type="dcterms:W3CDTF">2025-11-26T21:06:01Z</dcterms:created>
  <dcterms:modified xsi:type="dcterms:W3CDTF">2025-12-10T00:16:10Z</dcterms:modified>
</cp:coreProperties>
</file>