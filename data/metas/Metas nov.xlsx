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0EED9692-3A42-4D71-A4FC-20854B272548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" l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I4" i="1" s="1"/>
  <c r="H3" i="1"/>
  <c r="G24" i="1"/>
  <c r="G23" i="1"/>
  <c r="G22" i="1"/>
  <c r="G21" i="1"/>
  <c r="G20" i="1"/>
  <c r="I20" i="1" s="1"/>
  <c r="G19" i="1"/>
  <c r="G18" i="1"/>
  <c r="G17" i="1"/>
  <c r="G16" i="1"/>
  <c r="I16" i="1" s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I3" i="1" s="1"/>
  <c r="I5" i="1" l="1"/>
  <c r="I6" i="1"/>
  <c r="I18" i="1"/>
  <c r="I7" i="1"/>
  <c r="I19" i="1"/>
  <c r="I11" i="1"/>
  <c r="I23" i="1"/>
  <c r="I13" i="1"/>
  <c r="I12" i="1"/>
  <c r="I24" i="1"/>
  <c r="I8" i="1"/>
  <c r="I9" i="1"/>
  <c r="I21" i="1"/>
  <c r="I10" i="1"/>
  <c r="I22" i="1"/>
  <c r="I14" i="1"/>
  <c r="I15" i="1"/>
</calcChain>
</file>

<file path=xl/sharedStrings.xml><?xml version="1.0" encoding="utf-8"?>
<sst xmlns="http://schemas.openxmlformats.org/spreadsheetml/2006/main" count="33" uniqueCount="33">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</sst>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K24" totalsRowShown="0" tableBorderDxfId="10">
  <autoFilter ref="A2:K24" xr:uid="{270C0CE8-2C9D-4E45-89F3-304CDC43FD91}"/>
  <tableColumns count="11">
    <tableColumn id="1" xr3:uid="{77AEC5E1-75A8-4D26-B7C6-FEB178F6E1C1}" name="Sucursales" dataDxfId="9"/>
    <tableColumn id="2" xr3:uid="{7462DAAF-6DB4-4405-8508-73A33ADDFB4F}" name="Meta FAYCGO " dataDxfId="8"/>
    <tableColumn id="3" xr3:uid="{26715BA0-E2DF-41F2-B9B9-1F62E0CE5131}" name="Usuarios 1ro de mes" dataDxfId="7"/>
    <tableColumn id="4" xr3:uid="{E3FCE66C-E111-4B4A-B40C-792E067D7C45}" name="Proyecciòn Usuarios activos a fin de mes" dataDxfId="6"/>
    <tableColumn id="5" xr3:uid="{66334719-0049-403A-B612-EEE7CDCFD91E}" name="Meta de clientes nuevos" dataDxfId="5"/>
    <tableColumn id="11" xr3:uid="{4C4C1F88-4619-4187-95D4-8D3718636E66}" name="Meta reactivaciones" dataDxfId="0"/>
    <tableColumn id="6" xr3:uid="{E4A3EC2D-E11C-4CA1-BFB3-B808B639E6CC}" name="Bebidas" dataDxfId="4">
      <calculatedColumnFormula>B3*0.07</calculatedColumnFormula>
    </tableColumn>
    <tableColumn id="7" xr3:uid="{019A4BB1-5D06-464D-AA21-8078EFD6DBF4}" name="Artículos" dataDxfId="3">
      <calculatedColumnFormula>(B3*0.013)</calculatedColumnFormula>
    </tableColumn>
    <tableColumn id="8" xr3:uid="{70BCCEC0-77FB-4C5B-A333-BAA74285D0C7}" name="Tienda" dataDxfId="2">
      <calculatedColumnFormula>G3+H3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K24"/>
  <sheetViews>
    <sheetView tabSelected="1" workbookViewId="0">
      <selection activeCell="F27" sqref="F27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9.88671875" customWidth="1"/>
    <col min="8" max="8" width="10.44140625" customWidth="1"/>
    <col min="9" max="9" width="9.77734375" bestFit="1" customWidth="1"/>
    <col min="10" max="11" width="11.6640625" customWidth="1"/>
  </cols>
  <sheetData>
    <row r="2" spans="1:11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23</v>
      </c>
      <c r="H2" t="s">
        <v>24</v>
      </c>
      <c r="I2" t="s">
        <v>25</v>
      </c>
      <c r="J2" t="s">
        <v>30</v>
      </c>
      <c r="K2" t="s">
        <v>31</v>
      </c>
    </row>
    <row r="3" spans="1:11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4">
        <f>B3*0.07</f>
        <v>54881.890000000007</v>
      </c>
      <c r="H3" s="5">
        <f>(B3*0.013)</f>
        <v>10192.350999999999</v>
      </c>
      <c r="I3" s="6">
        <f>G3+H3</f>
        <v>65074.241000000009</v>
      </c>
      <c r="J3">
        <v>2025</v>
      </c>
      <c r="K3">
        <v>11</v>
      </c>
    </row>
    <row r="4" spans="1:11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4">
        <f t="shared" ref="G4:G24" si="0">B4*0.07</f>
        <v>47539.100000000006</v>
      </c>
      <c r="H4" s="5">
        <f t="shared" ref="H4:H24" si="1">(B4*0.013)</f>
        <v>8828.6899999999987</v>
      </c>
      <c r="I4" s="6">
        <f t="shared" ref="I4:I24" si="2">G4+H4</f>
        <v>56367.790000000008</v>
      </c>
      <c r="J4">
        <v>2025</v>
      </c>
      <c r="K4">
        <v>11</v>
      </c>
    </row>
    <row r="5" spans="1:11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4">
        <f t="shared" si="0"/>
        <v>58825.200000000004</v>
      </c>
      <c r="H5" s="5">
        <f t="shared" si="1"/>
        <v>10924.68</v>
      </c>
      <c r="I5" s="6">
        <f t="shared" si="2"/>
        <v>69749.88</v>
      </c>
      <c r="J5">
        <v>2025</v>
      </c>
      <c r="K5">
        <v>11</v>
      </c>
    </row>
    <row r="6" spans="1:11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4">
        <f t="shared" si="0"/>
        <v>55701.73</v>
      </c>
      <c r="H6" s="5">
        <f t="shared" si="1"/>
        <v>10344.607</v>
      </c>
      <c r="I6" s="6">
        <f t="shared" si="2"/>
        <v>66046.337</v>
      </c>
      <c r="J6">
        <v>2025</v>
      </c>
      <c r="K6">
        <v>11</v>
      </c>
    </row>
    <row r="7" spans="1:11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4">
        <f t="shared" si="0"/>
        <v>78682.8</v>
      </c>
      <c r="H7" s="5">
        <f t="shared" si="1"/>
        <v>14612.519999999999</v>
      </c>
      <c r="I7" s="6">
        <f t="shared" si="2"/>
        <v>93295.32</v>
      </c>
      <c r="J7">
        <v>2025</v>
      </c>
      <c r="K7">
        <v>11</v>
      </c>
    </row>
    <row r="8" spans="1:11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4">
        <f t="shared" si="0"/>
        <v>52070.340000000004</v>
      </c>
      <c r="H8" s="5">
        <f t="shared" si="1"/>
        <v>9670.2060000000001</v>
      </c>
      <c r="I8" s="6">
        <f t="shared" si="2"/>
        <v>61740.546000000002</v>
      </c>
      <c r="J8">
        <v>2025</v>
      </c>
      <c r="K8">
        <v>11</v>
      </c>
    </row>
    <row r="9" spans="1:11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4">
        <f t="shared" si="0"/>
        <v>46803.890000000007</v>
      </c>
      <c r="H9" s="5">
        <f t="shared" si="1"/>
        <v>8692.1509999999998</v>
      </c>
      <c r="I9" s="6">
        <f t="shared" si="2"/>
        <v>55496.041000000005</v>
      </c>
      <c r="J9">
        <v>2025</v>
      </c>
      <c r="K9">
        <v>11</v>
      </c>
    </row>
    <row r="10" spans="1:11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4">
        <f t="shared" si="0"/>
        <v>65562</v>
      </c>
      <c r="H10" s="5">
        <f t="shared" si="1"/>
        <v>12175.8</v>
      </c>
      <c r="I10" s="6">
        <f t="shared" si="2"/>
        <v>77737.8</v>
      </c>
      <c r="J10">
        <v>2025</v>
      </c>
      <c r="K10">
        <v>11</v>
      </c>
    </row>
    <row r="11" spans="1:11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4">
        <f t="shared" si="0"/>
        <v>111677.44000000002</v>
      </c>
      <c r="H11" s="5">
        <f t="shared" si="1"/>
        <v>20740.095999999998</v>
      </c>
      <c r="I11" s="6">
        <f t="shared" si="2"/>
        <v>132417.53600000002</v>
      </c>
      <c r="J11">
        <v>2025</v>
      </c>
      <c r="K11">
        <v>11</v>
      </c>
    </row>
    <row r="12" spans="1:11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4">
        <f t="shared" si="0"/>
        <v>28170.870000000003</v>
      </c>
      <c r="H12" s="5">
        <f t="shared" si="1"/>
        <v>5231.7330000000002</v>
      </c>
      <c r="I12" s="6">
        <f t="shared" si="2"/>
        <v>33402.603000000003</v>
      </c>
      <c r="J12">
        <v>2025</v>
      </c>
      <c r="K12">
        <v>11</v>
      </c>
    </row>
    <row r="13" spans="1:11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4">
        <f t="shared" si="0"/>
        <v>79259.950000000012</v>
      </c>
      <c r="H13" s="5">
        <f t="shared" si="1"/>
        <v>14719.705</v>
      </c>
      <c r="I13" s="6">
        <f t="shared" si="2"/>
        <v>93979.655000000013</v>
      </c>
      <c r="J13">
        <v>2025</v>
      </c>
      <c r="K13">
        <v>11</v>
      </c>
    </row>
    <row r="14" spans="1:11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4">
        <f t="shared" si="0"/>
        <v>76499.780000000013</v>
      </c>
      <c r="H14" s="5">
        <f t="shared" si="1"/>
        <v>14207.101999999999</v>
      </c>
      <c r="I14" s="6">
        <f t="shared" si="2"/>
        <v>90706.882000000012</v>
      </c>
      <c r="J14">
        <v>2025</v>
      </c>
      <c r="K14">
        <v>11</v>
      </c>
    </row>
    <row r="15" spans="1:11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4">
        <f t="shared" si="0"/>
        <v>53167.520000000004</v>
      </c>
      <c r="H15" s="5">
        <f t="shared" si="1"/>
        <v>9873.9679999999989</v>
      </c>
      <c r="I15" s="6">
        <f t="shared" si="2"/>
        <v>63041.488000000005</v>
      </c>
      <c r="J15">
        <v>2025</v>
      </c>
      <c r="K15">
        <v>11</v>
      </c>
    </row>
    <row r="16" spans="1:11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4">
        <f t="shared" si="0"/>
        <v>61394.060000000005</v>
      </c>
      <c r="H16" s="5">
        <f t="shared" si="1"/>
        <v>11401.753999999999</v>
      </c>
      <c r="I16" s="6">
        <f t="shared" si="2"/>
        <v>72795.813999999998</v>
      </c>
      <c r="J16">
        <v>2025</v>
      </c>
      <c r="K16">
        <v>11</v>
      </c>
    </row>
    <row r="17" spans="1:11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4">
        <f t="shared" si="0"/>
        <v>59365.950000000004</v>
      </c>
      <c r="H17" s="5">
        <f t="shared" si="1"/>
        <v>11025.105</v>
      </c>
      <c r="I17" s="6">
        <f t="shared" si="2"/>
        <v>70391.055000000008</v>
      </c>
      <c r="J17">
        <v>2025</v>
      </c>
      <c r="K17">
        <v>11</v>
      </c>
    </row>
    <row r="18" spans="1:11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4">
        <f t="shared" si="0"/>
        <v>48546.960000000006</v>
      </c>
      <c r="H18" s="5">
        <f t="shared" si="1"/>
        <v>9015.8639999999996</v>
      </c>
      <c r="I18" s="6">
        <f t="shared" si="2"/>
        <v>57562.824000000008</v>
      </c>
      <c r="J18">
        <v>2025</v>
      </c>
      <c r="K18">
        <v>11</v>
      </c>
    </row>
    <row r="19" spans="1:11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4">
        <f t="shared" si="0"/>
        <v>42288.960000000006</v>
      </c>
      <c r="H19" s="5">
        <f t="shared" si="1"/>
        <v>7853.6639999999998</v>
      </c>
      <c r="I19" s="6">
        <f t="shared" si="2"/>
        <v>50142.624000000003</v>
      </c>
      <c r="J19">
        <v>2025</v>
      </c>
      <c r="K19">
        <v>11</v>
      </c>
    </row>
    <row r="20" spans="1:11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4">
        <f t="shared" si="0"/>
        <v>77545.440000000002</v>
      </c>
      <c r="H20" s="5">
        <f t="shared" si="1"/>
        <v>14401.295999999998</v>
      </c>
      <c r="I20" s="6">
        <f t="shared" si="2"/>
        <v>91946.736000000004</v>
      </c>
      <c r="J20">
        <v>2025</v>
      </c>
      <c r="K20">
        <v>11</v>
      </c>
    </row>
    <row r="21" spans="1:11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4">
        <f t="shared" si="0"/>
        <v>41893.880000000005</v>
      </c>
      <c r="H21" s="5">
        <f t="shared" si="1"/>
        <v>7780.2919999999995</v>
      </c>
      <c r="I21" s="6">
        <f t="shared" si="2"/>
        <v>49674.172000000006</v>
      </c>
      <c r="J21">
        <v>2025</v>
      </c>
      <c r="K21">
        <v>11</v>
      </c>
    </row>
    <row r="22" spans="1:11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4">
        <f t="shared" si="0"/>
        <v>56578.48</v>
      </c>
      <c r="H22" s="5">
        <f t="shared" si="1"/>
        <v>10507.431999999999</v>
      </c>
      <c r="I22" s="6">
        <f t="shared" si="2"/>
        <v>67085.911999999997</v>
      </c>
      <c r="J22">
        <v>2025</v>
      </c>
      <c r="K22">
        <v>11</v>
      </c>
    </row>
    <row r="23" spans="1:11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4">
        <f t="shared" si="0"/>
        <v>55297.200000000004</v>
      </c>
      <c r="H23" s="5">
        <f t="shared" si="1"/>
        <v>10269.48</v>
      </c>
      <c r="I23" s="6">
        <f t="shared" si="2"/>
        <v>65566.680000000008</v>
      </c>
      <c r="J23">
        <v>2025</v>
      </c>
      <c r="K23">
        <v>11</v>
      </c>
    </row>
    <row r="24" spans="1:11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4">
        <f t="shared" si="0"/>
        <v>67275.180000000008</v>
      </c>
      <c r="H24" s="5">
        <f t="shared" si="1"/>
        <v>12493.962</v>
      </c>
      <c r="I24" s="6">
        <f t="shared" si="2"/>
        <v>79769.142000000007</v>
      </c>
      <c r="J24">
        <v>2025</v>
      </c>
      <c r="K24">
        <v>11</v>
      </c>
    </row>
  </sheetData>
  <conditionalFormatting sqref="B3:B24">
    <cfRule type="cellIs" dxfId="1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2025-11-28T21:09:13Z</dcterms:modified>
</cp:coreProperties>
</file>