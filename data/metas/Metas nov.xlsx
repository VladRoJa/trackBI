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track\TRACK BI\data\metas\"/>
    </mc:Choice>
  </mc:AlternateContent>
  <xr:revisionPtr revIDLastSave="0" documentId="13_ncr:1_{37D1E149-2453-401A-B8C9-EFCC85EA01E4}" xr6:coauthVersionLast="47" xr6:coauthVersionMax="47" xr10:uidLastSave="{00000000-0000-0000-0000-000000000000}"/>
  <bookViews>
    <workbookView xWindow="-28908" yWindow="-108" windowWidth="29016" windowHeight="15696" xr2:uid="{25CE6252-27A9-4B41-ABF1-E4554C54E68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" i="1" l="1"/>
  <c r="H16" i="1"/>
  <c r="H3" i="1"/>
  <c r="G24" i="1"/>
  <c r="G23" i="1"/>
  <c r="G22" i="1"/>
  <c r="G21" i="1"/>
  <c r="G20" i="1"/>
  <c r="G19" i="1"/>
  <c r="G18" i="1"/>
  <c r="G17" i="1"/>
  <c r="G16" i="1"/>
  <c r="G15" i="1"/>
  <c r="G14" i="1"/>
  <c r="G13" i="1"/>
  <c r="H13" i="1" s="1"/>
  <c r="G12" i="1"/>
  <c r="G11" i="1"/>
  <c r="G10" i="1"/>
  <c r="G9" i="1"/>
  <c r="G8" i="1"/>
  <c r="G7" i="1"/>
  <c r="G6" i="1"/>
  <c r="G5" i="1"/>
  <c r="G4" i="1"/>
  <c r="H4" i="1" s="1"/>
  <c r="G3" i="1"/>
  <c r="F24" i="1"/>
  <c r="H24" i="1" s="1"/>
  <c r="F23" i="1"/>
  <c r="H23" i="1" s="1"/>
  <c r="F22" i="1"/>
  <c r="F21" i="1"/>
  <c r="F20" i="1"/>
  <c r="H20" i="1" s="1"/>
  <c r="F19" i="1"/>
  <c r="H19" i="1" s="1"/>
  <c r="F18" i="1"/>
  <c r="H18" i="1" s="1"/>
  <c r="F17" i="1"/>
  <c r="F16" i="1"/>
  <c r="F15" i="1"/>
  <c r="F14" i="1"/>
  <c r="F13" i="1"/>
  <c r="F12" i="1"/>
  <c r="H12" i="1" s="1"/>
  <c r="F11" i="1"/>
  <c r="H11" i="1" s="1"/>
  <c r="F10" i="1"/>
  <c r="F9" i="1"/>
  <c r="F8" i="1"/>
  <c r="F7" i="1"/>
  <c r="H7" i="1" s="1"/>
  <c r="F6" i="1"/>
  <c r="H6" i="1" s="1"/>
  <c r="F5" i="1"/>
  <c r="H5" i="1" s="1"/>
  <c r="F4" i="1"/>
  <c r="F3" i="1"/>
  <c r="H8" i="1" l="1"/>
  <c r="H9" i="1"/>
  <c r="H21" i="1"/>
  <c r="H10" i="1"/>
  <c r="H22" i="1"/>
  <c r="H14" i="1"/>
  <c r="H15" i="1"/>
</calcChain>
</file>

<file path=xl/sharedStrings.xml><?xml version="1.0" encoding="utf-8"?>
<sst xmlns="http://schemas.openxmlformats.org/spreadsheetml/2006/main" count="32" uniqueCount="32">
  <si>
    <t>VILLAS DEL REY</t>
  </si>
  <si>
    <t>VILLA VERDE MEXICALI</t>
  </si>
  <si>
    <t>INDEPENDENCIA</t>
  </si>
  <si>
    <t>TEC MEXICALI</t>
  </si>
  <si>
    <t>SENDERO MEXICALI</t>
  </si>
  <si>
    <t>SAN LUIS</t>
  </si>
  <si>
    <t>PABELLON ROSARITO</t>
  </si>
  <si>
    <t>MISION ENSENADA</t>
  </si>
  <si>
    <t>PASEO 2000</t>
  </si>
  <si>
    <t>LOMA BONITA</t>
  </si>
  <si>
    <t>SANTA FE</t>
  </si>
  <si>
    <t>CARROUSEL TIJUANA</t>
  </si>
  <si>
    <t>PAPALOTE TIJUANA</t>
  </si>
  <si>
    <t>SENDERO CULIACAN</t>
  </si>
  <si>
    <t>SAN ISIDRO CULIACAN</t>
  </si>
  <si>
    <t>AZAHARES CULIACAN</t>
  </si>
  <si>
    <t>SANTA CATARINA</t>
  </si>
  <si>
    <t>SENDERO SALTILLO</t>
  </si>
  <si>
    <t>SENDERO CHIHUAHUA</t>
  </si>
  <si>
    <t>PASEO LA PAZ</t>
  </si>
  <si>
    <t>IXTAPALUCA</t>
  </si>
  <si>
    <t>INSURGENTES</t>
  </si>
  <si>
    <t>Sucursales</t>
  </si>
  <si>
    <t>Bebidas</t>
  </si>
  <si>
    <t>Artículos</t>
  </si>
  <si>
    <t>Tienda</t>
  </si>
  <si>
    <t xml:space="preserve">Meta FAYCGO </t>
  </si>
  <si>
    <t>Usuarios 1ro de mes</t>
  </si>
  <si>
    <t>Proyecciòn Usuarios activos a fin de mes</t>
  </si>
  <si>
    <t>Meta de clientes nuevos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</si>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</sst>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80A]* #,##0_-;\-[$$-80A]* #,##0_-;_-[$$-80A]* &quot;-&quot;??_-;_-@"/>
    <numFmt numFmtId="167" formatCode="_-&quot;$&quot;* #,##0_-;\-&quot;$&quot;* #,##0_-;_-&quot;$&quot;* &quot;-&quot;??_-;_-@"/>
  </numFmts>
  <fonts count="4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</font>
    <font>
      <b/>
      <sz val="11"/>
      <color rgb="FF000000"/>
      <name val="Calibri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ECECEC"/>
      </top>
      <bottom style="thin">
        <color rgb="FFECECEC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164" fontId="3" fillId="0" borderId="1" xfId="0" applyNumberFormat="1" applyFont="1" applyBorder="1"/>
    <xf numFmtId="164" fontId="3" fillId="0" borderId="1" xfId="0" applyNumberFormat="1" applyFont="1" applyBorder="1" applyAlignment="1">
      <alignment horizontal="center" vertical="center"/>
    </xf>
    <xf numFmtId="167" fontId="3" fillId="0" borderId="3" xfId="0" applyNumberFormat="1" applyFont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7" formatCode="_-&quot;$&quot;* #,##0_-;\-&quot;$&quot;* #,##0_-;_-&quot;$&quot;* &quot;-&quot;??_-;_-@"/>
      <border diagonalUp="0" diagonalDown="0">
        <left/>
        <right/>
        <top style="thin">
          <color rgb="FFECECEC"/>
        </top>
        <bottom style="thin">
          <color rgb="FFECECE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_-[$$-80A]* #,##0_-;\-[$$-80A]* #,##0_-;_-[$$-80A]* &quot;-&quot;??_-;_-@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border outline="0">
        <left style="medium">
          <color rgb="FF000000"/>
        </left>
      </border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C0CE8-2C9D-4E45-89F3-304CDC43FD91}" name="Tabla1" displayName="Tabla1" ref="A2:J24" totalsRowShown="0" tableBorderDxfId="8">
  <autoFilter ref="A2:J24" xr:uid="{270C0CE8-2C9D-4E45-89F3-304CDC43FD91}"/>
  <tableColumns count="10">
    <tableColumn id="1" xr3:uid="{77AEC5E1-75A8-4D26-B7C6-FEB178F6E1C1}" name="Sucursales" dataDxfId="7"/>
    <tableColumn id="2" xr3:uid="{7462DAAF-6DB4-4405-8508-73A33ADDFB4F}" name="Meta FAYCGO " dataDxfId="6"/>
    <tableColumn id="3" xr3:uid="{26715BA0-E2DF-41F2-B9B9-1F62E0CE5131}" name="Usuarios 1ro de mes" dataDxfId="5"/>
    <tableColumn id="4" xr3:uid="{E3FCE66C-E111-4B4A-B40C-792E067D7C45}" name="Proyecciòn Usuarios activos a fin de mes" dataDxfId="4"/>
    <tableColumn id="5" xr3:uid="{66334719-0049-403A-B612-EEE7CDCFD91E}" name="Meta de clientes nuevos" dataDxfId="3"/>
    <tableColumn id="6" xr3:uid="{E4A3EC2D-E11C-4CA1-BFB3-B808B639E6CC}" name="Bebidas" dataDxfId="2">
      <calculatedColumnFormula>B3*0.07</calculatedColumnFormula>
    </tableColumn>
    <tableColumn id="7" xr3:uid="{019A4BB1-5D06-464D-AA21-8078EFD6DBF4}" name="Artículos" dataDxfId="1">
      <calculatedColumnFormula>(B3*0.013)</calculatedColumnFormula>
    </tableColumn>
    <tableColumn id="8" xr3:uid="{70BCCEC0-77FB-4C5B-A333-BAA74285D0C7}" name="Tienda" dataDxfId="0">
      <calculatedColumnFormula>F3+G3</calculatedColumnFormula>
    </tableColumn>
    <tableColumn id="9" xr3:uid="{5072CA0F-EA14-4D3C-A062-1A5ABD714150}" name="Año"/>
    <tableColumn id="10" xr3:uid="{1F63E2B1-9C9F-411C-903A-4ADC7A6B9DA9}" name="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DA-BDF5-4CE9-B38E-D0639C2B77E5}">
  <dimension ref="A2:J24"/>
  <sheetViews>
    <sheetView tabSelected="1" workbookViewId="0">
      <selection activeCell="C8" sqref="C8"/>
    </sheetView>
  </sheetViews>
  <sheetFormatPr baseColWidth="10" defaultRowHeight="14.4" x14ac:dyDescent="0.3"/>
  <cols>
    <col min="1" max="1" width="21.109375" bestFit="1" customWidth="1"/>
    <col min="2" max="2" width="15.33203125" customWidth="1"/>
    <col min="3" max="3" width="20.109375" customWidth="1"/>
    <col min="4" max="4" width="36.77734375" customWidth="1"/>
    <col min="5" max="5" width="23.44140625" customWidth="1"/>
    <col min="6" max="6" width="9.88671875" customWidth="1"/>
    <col min="7" max="7" width="10.44140625" customWidth="1"/>
    <col min="8" max="8" width="9.77734375" bestFit="1" customWidth="1"/>
    <col min="9" max="10" width="11.6640625" customWidth="1"/>
  </cols>
  <sheetData>
    <row r="2" spans="1:10" x14ac:dyDescent="0.3">
      <c r="A2" t="s">
        <v>22</v>
      </c>
      <c r="B2" t="s">
        <v>26</v>
      </c>
      <c r="C2" t="s">
        <v>27</v>
      </c>
      <c r="D2" t="s">
        <v>28</v>
      </c>
      <c r="E2" t="s">
        <v>29</v>
      </c>
      <c r="F2" t="s">
        <v>23</v>
      </c>
      <c r="G2" t="s">
        <v>24</v>
      </c>
      <c r="H2" t="s">
        <v>25</v>
      </c>
      <c r="I2" t="s">
        <v>30</v>
      </c>
      <c r="J2" t="s">
        <v>31</v>
      </c>
    </row>
    <row r="3" spans="1:10" x14ac:dyDescent="0.3">
      <c r="A3" s="7" t="s">
        <v>0</v>
      </c>
      <c r="B3" s="1">
        <v>784027</v>
      </c>
      <c r="C3" s="2">
        <v>1285</v>
      </c>
      <c r="D3" s="3">
        <v>1279</v>
      </c>
      <c r="E3" s="2">
        <v>153</v>
      </c>
      <c r="F3" s="4">
        <f>B3*0.07</f>
        <v>54881.890000000007</v>
      </c>
      <c r="G3" s="5">
        <f>(B3*0.013)</f>
        <v>10192.350999999999</v>
      </c>
      <c r="H3" s="6">
        <f>F3+G3</f>
        <v>65074.241000000009</v>
      </c>
      <c r="I3">
        <v>2025</v>
      </c>
      <c r="J3">
        <v>11</v>
      </c>
    </row>
    <row r="4" spans="1:10" x14ac:dyDescent="0.3">
      <c r="A4" s="7" t="s">
        <v>1</v>
      </c>
      <c r="B4" s="1">
        <v>679130</v>
      </c>
      <c r="C4" s="2">
        <v>1159</v>
      </c>
      <c r="D4" s="3">
        <v>1130</v>
      </c>
      <c r="E4" s="2">
        <v>81</v>
      </c>
      <c r="F4" s="4">
        <f t="shared" ref="F4:F24" si="0">B4*0.07</f>
        <v>47539.100000000006</v>
      </c>
      <c r="G4" s="5">
        <f t="shared" ref="G4:G24" si="1">(B4*0.013)</f>
        <v>8828.6899999999987</v>
      </c>
      <c r="H4" s="6">
        <f t="shared" ref="H4:H24" si="2">F4+G4</f>
        <v>56367.790000000008</v>
      </c>
      <c r="I4">
        <v>2025</v>
      </c>
      <c r="J4">
        <v>11</v>
      </c>
    </row>
    <row r="5" spans="1:10" x14ac:dyDescent="0.3">
      <c r="A5" s="7" t="s">
        <v>2</v>
      </c>
      <c r="B5" s="1">
        <v>840360</v>
      </c>
      <c r="C5" s="2">
        <v>1425</v>
      </c>
      <c r="D5" s="3">
        <v>1410</v>
      </c>
      <c r="E5" s="2">
        <v>106</v>
      </c>
      <c r="F5" s="4">
        <f t="shared" si="0"/>
        <v>58825.200000000004</v>
      </c>
      <c r="G5" s="5">
        <f t="shared" si="1"/>
        <v>10924.68</v>
      </c>
      <c r="H5" s="6">
        <f t="shared" si="2"/>
        <v>69749.88</v>
      </c>
      <c r="I5">
        <v>2025</v>
      </c>
      <c r="J5">
        <v>11</v>
      </c>
    </row>
    <row r="6" spans="1:10" x14ac:dyDescent="0.3">
      <c r="A6" s="7" t="s">
        <v>3</v>
      </c>
      <c r="B6" s="1">
        <v>795739</v>
      </c>
      <c r="C6" s="2">
        <v>1337</v>
      </c>
      <c r="D6" s="3">
        <v>1351</v>
      </c>
      <c r="E6" s="2">
        <v>107</v>
      </c>
      <c r="F6" s="4">
        <f t="shared" si="0"/>
        <v>55701.73</v>
      </c>
      <c r="G6" s="5">
        <f t="shared" si="1"/>
        <v>10344.607</v>
      </c>
      <c r="H6" s="6">
        <f t="shared" si="2"/>
        <v>66046.337</v>
      </c>
      <c r="I6">
        <v>2025</v>
      </c>
      <c r="J6">
        <v>11</v>
      </c>
    </row>
    <row r="7" spans="1:10" x14ac:dyDescent="0.3">
      <c r="A7" s="7" t="s">
        <v>4</v>
      </c>
      <c r="B7" s="1">
        <v>1124040</v>
      </c>
      <c r="C7" s="2">
        <v>1952</v>
      </c>
      <c r="D7" s="3">
        <v>1938</v>
      </c>
      <c r="E7" s="2">
        <v>158</v>
      </c>
      <c r="F7" s="4">
        <f t="shared" si="0"/>
        <v>78682.8</v>
      </c>
      <c r="G7" s="5">
        <f t="shared" si="1"/>
        <v>14612.519999999999</v>
      </c>
      <c r="H7" s="6">
        <f t="shared" si="2"/>
        <v>93295.32</v>
      </c>
      <c r="I7">
        <v>2025</v>
      </c>
      <c r="J7">
        <v>11</v>
      </c>
    </row>
    <row r="8" spans="1:10" x14ac:dyDescent="0.3">
      <c r="A8" s="7" t="s">
        <v>5</v>
      </c>
      <c r="B8" s="1">
        <v>743862</v>
      </c>
      <c r="C8" s="2">
        <v>1261</v>
      </c>
      <c r="D8" s="3">
        <v>1246</v>
      </c>
      <c r="E8" s="2">
        <v>115</v>
      </c>
      <c r="F8" s="4">
        <f t="shared" si="0"/>
        <v>52070.340000000004</v>
      </c>
      <c r="G8" s="5">
        <f t="shared" si="1"/>
        <v>9670.2060000000001</v>
      </c>
      <c r="H8" s="6">
        <f t="shared" si="2"/>
        <v>61740.546000000002</v>
      </c>
      <c r="I8">
        <v>2025</v>
      </c>
      <c r="J8">
        <v>11</v>
      </c>
    </row>
    <row r="9" spans="1:10" x14ac:dyDescent="0.3">
      <c r="A9" s="7" t="s">
        <v>6</v>
      </c>
      <c r="B9" s="1">
        <v>668627</v>
      </c>
      <c r="C9" s="2">
        <v>1043</v>
      </c>
      <c r="D9" s="3">
        <v>1063</v>
      </c>
      <c r="E9" s="2">
        <v>170</v>
      </c>
      <c r="F9" s="4">
        <f t="shared" si="0"/>
        <v>46803.890000000007</v>
      </c>
      <c r="G9" s="5">
        <f t="shared" si="1"/>
        <v>8692.1509999999998</v>
      </c>
      <c r="H9" s="6">
        <f t="shared" si="2"/>
        <v>55496.041000000005</v>
      </c>
      <c r="I9">
        <v>2025</v>
      </c>
      <c r="J9">
        <v>11</v>
      </c>
    </row>
    <row r="10" spans="1:10" x14ac:dyDescent="0.3">
      <c r="A10" s="7" t="s">
        <v>7</v>
      </c>
      <c r="B10" s="1">
        <v>936600</v>
      </c>
      <c r="C10" s="2">
        <v>1682</v>
      </c>
      <c r="D10" s="3">
        <v>1561</v>
      </c>
      <c r="E10" s="2">
        <v>126</v>
      </c>
      <c r="F10" s="4">
        <f t="shared" si="0"/>
        <v>65562</v>
      </c>
      <c r="G10" s="5">
        <f t="shared" si="1"/>
        <v>12175.8</v>
      </c>
      <c r="H10" s="6">
        <f t="shared" si="2"/>
        <v>77737.8</v>
      </c>
      <c r="I10">
        <v>2025</v>
      </c>
      <c r="J10">
        <v>11</v>
      </c>
    </row>
    <row r="11" spans="1:10" x14ac:dyDescent="0.3">
      <c r="A11" s="7" t="s">
        <v>8</v>
      </c>
      <c r="B11" s="1">
        <v>1595392</v>
      </c>
      <c r="C11" s="2">
        <v>2466</v>
      </c>
      <c r="D11" s="3">
        <v>2432</v>
      </c>
      <c r="E11" s="2">
        <v>258</v>
      </c>
      <c r="F11" s="4">
        <f t="shared" si="0"/>
        <v>111677.44000000002</v>
      </c>
      <c r="G11" s="5">
        <f t="shared" si="1"/>
        <v>20740.095999999998</v>
      </c>
      <c r="H11" s="6">
        <f t="shared" si="2"/>
        <v>132417.53600000002</v>
      </c>
      <c r="I11">
        <v>2025</v>
      </c>
      <c r="J11">
        <v>11</v>
      </c>
    </row>
    <row r="12" spans="1:10" x14ac:dyDescent="0.3">
      <c r="A12" s="7" t="s">
        <v>9</v>
      </c>
      <c r="B12" s="1">
        <v>402441</v>
      </c>
      <c r="C12" s="2">
        <v>653</v>
      </c>
      <c r="D12" s="3">
        <v>663</v>
      </c>
      <c r="E12" s="2">
        <v>97</v>
      </c>
      <c r="F12" s="4">
        <f t="shared" si="0"/>
        <v>28170.870000000003</v>
      </c>
      <c r="G12" s="5">
        <f t="shared" si="1"/>
        <v>5231.7330000000002</v>
      </c>
      <c r="H12" s="6">
        <f t="shared" si="2"/>
        <v>33402.603000000003</v>
      </c>
      <c r="I12">
        <v>2025</v>
      </c>
      <c r="J12">
        <v>11</v>
      </c>
    </row>
    <row r="13" spans="1:10" x14ac:dyDescent="0.3">
      <c r="A13" s="7" t="s">
        <v>10</v>
      </c>
      <c r="B13" s="1">
        <v>1132285</v>
      </c>
      <c r="C13" s="2">
        <v>1935</v>
      </c>
      <c r="D13" s="3">
        <v>1903</v>
      </c>
      <c r="E13" s="2">
        <v>177</v>
      </c>
      <c r="F13" s="4">
        <f t="shared" si="0"/>
        <v>79259.950000000012</v>
      </c>
      <c r="G13" s="5">
        <f t="shared" si="1"/>
        <v>14719.705</v>
      </c>
      <c r="H13" s="6">
        <f t="shared" si="2"/>
        <v>93979.655000000013</v>
      </c>
      <c r="I13">
        <v>2025</v>
      </c>
      <c r="J13">
        <v>11</v>
      </c>
    </row>
    <row r="14" spans="1:10" x14ac:dyDescent="0.3">
      <c r="A14" s="7" t="s">
        <v>11</v>
      </c>
      <c r="B14" s="1">
        <v>1092854</v>
      </c>
      <c r="C14" s="2">
        <v>1785</v>
      </c>
      <c r="D14" s="3">
        <v>1757</v>
      </c>
      <c r="E14" s="2">
        <v>164</v>
      </c>
      <c r="F14" s="4">
        <f t="shared" si="0"/>
        <v>76499.780000000013</v>
      </c>
      <c r="G14" s="5">
        <f t="shared" si="1"/>
        <v>14207.101999999999</v>
      </c>
      <c r="H14" s="6">
        <f t="shared" si="2"/>
        <v>90706.882000000012</v>
      </c>
      <c r="I14">
        <v>2025</v>
      </c>
      <c r="J14">
        <v>11</v>
      </c>
    </row>
    <row r="15" spans="1:10" x14ac:dyDescent="0.3">
      <c r="A15" s="7" t="s">
        <v>12</v>
      </c>
      <c r="B15" s="1">
        <v>759536</v>
      </c>
      <c r="C15" s="2">
        <v>1214</v>
      </c>
      <c r="D15" s="3">
        <v>1283</v>
      </c>
      <c r="E15" s="2">
        <v>132</v>
      </c>
      <c r="F15" s="4">
        <f t="shared" si="0"/>
        <v>53167.520000000004</v>
      </c>
      <c r="G15" s="5">
        <f t="shared" si="1"/>
        <v>9873.9679999999989</v>
      </c>
      <c r="H15" s="6">
        <f t="shared" si="2"/>
        <v>63041.488000000005</v>
      </c>
      <c r="I15">
        <v>2025</v>
      </c>
      <c r="J15">
        <v>11</v>
      </c>
    </row>
    <row r="16" spans="1:10" x14ac:dyDescent="0.3">
      <c r="A16" s="7" t="s">
        <v>13</v>
      </c>
      <c r="B16" s="1">
        <v>877058</v>
      </c>
      <c r="C16" s="2">
        <v>1602</v>
      </c>
      <c r="D16" s="3">
        <v>1586</v>
      </c>
      <c r="E16" s="2">
        <v>120</v>
      </c>
      <c r="F16" s="4">
        <f t="shared" si="0"/>
        <v>61394.060000000005</v>
      </c>
      <c r="G16" s="5">
        <f t="shared" si="1"/>
        <v>11401.753999999999</v>
      </c>
      <c r="H16" s="6">
        <f t="shared" si="2"/>
        <v>72795.813999999998</v>
      </c>
      <c r="I16">
        <v>2025</v>
      </c>
      <c r="J16">
        <v>11</v>
      </c>
    </row>
    <row r="17" spans="1:10" x14ac:dyDescent="0.3">
      <c r="A17" s="7" t="s">
        <v>14</v>
      </c>
      <c r="B17" s="1">
        <v>848085</v>
      </c>
      <c r="C17" s="2">
        <v>1450</v>
      </c>
      <c r="D17" s="3">
        <v>1435</v>
      </c>
      <c r="E17" s="2">
        <v>116</v>
      </c>
      <c r="F17" s="4">
        <f t="shared" si="0"/>
        <v>59365.950000000004</v>
      </c>
      <c r="G17" s="5">
        <f t="shared" si="1"/>
        <v>11025.105</v>
      </c>
      <c r="H17" s="6">
        <f t="shared" si="2"/>
        <v>70391.055000000008</v>
      </c>
      <c r="I17">
        <v>2025</v>
      </c>
      <c r="J17">
        <v>11</v>
      </c>
    </row>
    <row r="18" spans="1:10" x14ac:dyDescent="0.3">
      <c r="A18" s="7" t="s">
        <v>15</v>
      </c>
      <c r="B18" s="1">
        <v>693528</v>
      </c>
      <c r="C18" s="2">
        <v>1258</v>
      </c>
      <c r="D18" s="3">
        <v>1221</v>
      </c>
      <c r="E18" s="2">
        <v>101</v>
      </c>
      <c r="F18" s="4">
        <f t="shared" si="0"/>
        <v>48546.960000000006</v>
      </c>
      <c r="G18" s="5">
        <f t="shared" si="1"/>
        <v>9015.8639999999996</v>
      </c>
      <c r="H18" s="6">
        <f t="shared" si="2"/>
        <v>57562.824000000008</v>
      </c>
      <c r="I18">
        <v>2025</v>
      </c>
      <c r="J18">
        <v>11</v>
      </c>
    </row>
    <row r="19" spans="1:10" x14ac:dyDescent="0.3">
      <c r="A19" s="7" t="s">
        <v>16</v>
      </c>
      <c r="B19" s="1">
        <v>604128</v>
      </c>
      <c r="C19" s="2">
        <v>1016</v>
      </c>
      <c r="D19" s="3">
        <v>992</v>
      </c>
      <c r="E19" s="2">
        <v>106</v>
      </c>
      <c r="F19" s="4">
        <f t="shared" si="0"/>
        <v>42288.960000000006</v>
      </c>
      <c r="G19" s="5">
        <f t="shared" si="1"/>
        <v>7853.6639999999998</v>
      </c>
      <c r="H19" s="6">
        <f t="shared" si="2"/>
        <v>50142.624000000003</v>
      </c>
      <c r="I19">
        <v>2025</v>
      </c>
      <c r="J19">
        <v>11</v>
      </c>
    </row>
    <row r="20" spans="1:10" x14ac:dyDescent="0.3">
      <c r="A20" s="7" t="s">
        <v>17</v>
      </c>
      <c r="B20" s="1">
        <v>1107792</v>
      </c>
      <c r="C20" s="2">
        <v>1765</v>
      </c>
      <c r="D20" s="3">
        <v>1764</v>
      </c>
      <c r="E20" s="2">
        <v>155</v>
      </c>
      <c r="F20" s="4">
        <f t="shared" si="0"/>
        <v>77545.440000000002</v>
      </c>
      <c r="G20" s="5">
        <f t="shared" si="1"/>
        <v>14401.295999999998</v>
      </c>
      <c r="H20" s="6">
        <f t="shared" si="2"/>
        <v>91946.736000000004</v>
      </c>
      <c r="I20">
        <v>2025</v>
      </c>
      <c r="J20">
        <v>11</v>
      </c>
    </row>
    <row r="21" spans="1:10" x14ac:dyDescent="0.3">
      <c r="A21" s="7" t="s">
        <v>18</v>
      </c>
      <c r="B21" s="1">
        <v>598484</v>
      </c>
      <c r="C21" s="2">
        <v>912</v>
      </c>
      <c r="D21" s="3">
        <v>953</v>
      </c>
      <c r="E21" s="2">
        <v>129</v>
      </c>
      <c r="F21" s="4">
        <f t="shared" si="0"/>
        <v>41893.880000000005</v>
      </c>
      <c r="G21" s="5">
        <f t="shared" si="1"/>
        <v>7780.2919999999995</v>
      </c>
      <c r="H21" s="6">
        <f t="shared" si="2"/>
        <v>49674.172000000006</v>
      </c>
      <c r="I21">
        <v>2025</v>
      </c>
      <c r="J21">
        <v>11</v>
      </c>
    </row>
    <row r="22" spans="1:10" x14ac:dyDescent="0.3">
      <c r="A22" s="7" t="s">
        <v>19</v>
      </c>
      <c r="B22" s="1">
        <v>808264</v>
      </c>
      <c r="C22" s="2">
        <v>1427</v>
      </c>
      <c r="D22" s="3">
        <v>1423</v>
      </c>
      <c r="E22" s="2">
        <v>142</v>
      </c>
      <c r="F22" s="4">
        <f t="shared" si="0"/>
        <v>56578.48</v>
      </c>
      <c r="G22" s="5">
        <f t="shared" si="1"/>
        <v>10507.431999999999</v>
      </c>
      <c r="H22" s="6">
        <f t="shared" si="2"/>
        <v>67085.911999999997</v>
      </c>
      <c r="I22">
        <v>2025</v>
      </c>
      <c r="J22">
        <v>11</v>
      </c>
    </row>
    <row r="23" spans="1:10" x14ac:dyDescent="0.3">
      <c r="A23" s="7" t="s">
        <v>20</v>
      </c>
      <c r="B23" s="1">
        <v>789960</v>
      </c>
      <c r="C23" s="2">
        <v>1168</v>
      </c>
      <c r="D23" s="3">
        <v>1160</v>
      </c>
      <c r="E23" s="2">
        <v>115</v>
      </c>
      <c r="F23" s="4">
        <f t="shared" si="0"/>
        <v>55297.200000000004</v>
      </c>
      <c r="G23" s="5">
        <f t="shared" si="1"/>
        <v>10269.48</v>
      </c>
      <c r="H23" s="6">
        <f t="shared" si="2"/>
        <v>65566.680000000008</v>
      </c>
      <c r="I23">
        <v>2025</v>
      </c>
      <c r="J23">
        <v>11</v>
      </c>
    </row>
    <row r="24" spans="1:10" x14ac:dyDescent="0.3">
      <c r="A24" s="7" t="s">
        <v>21</v>
      </c>
      <c r="B24" s="1">
        <v>961074</v>
      </c>
      <c r="C24" s="2">
        <v>1273</v>
      </c>
      <c r="D24" s="3">
        <v>1497</v>
      </c>
      <c r="E24" s="2">
        <v>315</v>
      </c>
      <c r="F24" s="4">
        <f t="shared" si="0"/>
        <v>67275.180000000008</v>
      </c>
      <c r="G24" s="5">
        <f t="shared" si="1"/>
        <v>12493.962</v>
      </c>
      <c r="H24" s="6">
        <f t="shared" si="2"/>
        <v>79769.142000000007</v>
      </c>
      <c r="I24">
        <v>2025</v>
      </c>
      <c r="J24">
        <v>11</v>
      </c>
    </row>
  </sheetData>
  <conditionalFormatting sqref="B3:B24">
    <cfRule type="cellIs" dxfId="9" priority="2" operator="lessThan">
      <formula>10020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BOJORQUEZ RODRIGUEZ</dc:creator>
  <cp:lastModifiedBy>GABRIELA BOJORQUEZ RODRIGUEZ</cp:lastModifiedBy>
  <dcterms:created xsi:type="dcterms:W3CDTF">2025-11-26T21:06:01Z</dcterms:created>
  <dcterms:modified xsi:type="dcterms:W3CDTF">2025-11-26T21:31:41Z</dcterms:modified>
</cp:coreProperties>
</file>