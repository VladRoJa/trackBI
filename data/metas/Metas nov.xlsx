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B93E017C-8C2B-4309-BA96-CBC2BB349397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I46" i="1"/>
  <c r="J45" i="1"/>
  <c r="I45" i="1"/>
  <c r="K45" i="1" s="1"/>
  <c r="J44" i="1"/>
  <c r="I44" i="1"/>
  <c r="K44" i="1" s="1"/>
  <c r="J43" i="1"/>
  <c r="I43" i="1"/>
  <c r="K43" i="1" s="1"/>
  <c r="J42" i="1"/>
  <c r="I42" i="1"/>
  <c r="K42" i="1" s="1"/>
  <c r="J41" i="1"/>
  <c r="I41" i="1"/>
  <c r="K41" i="1" s="1"/>
  <c r="J40" i="1"/>
  <c r="I40" i="1"/>
  <c r="K40" i="1" s="1"/>
  <c r="J39" i="1"/>
  <c r="I39" i="1"/>
  <c r="K39" i="1" s="1"/>
  <c r="J38" i="1"/>
  <c r="I38" i="1"/>
  <c r="K38" i="1" s="1"/>
  <c r="J37" i="1"/>
  <c r="I37" i="1"/>
  <c r="K37" i="1" s="1"/>
  <c r="J36" i="1"/>
  <c r="I36" i="1"/>
  <c r="K36" i="1" s="1"/>
  <c r="J35" i="1"/>
  <c r="I35" i="1"/>
  <c r="K35" i="1" s="1"/>
  <c r="J34" i="1"/>
  <c r="I34" i="1"/>
  <c r="K34" i="1" s="1"/>
  <c r="J33" i="1"/>
  <c r="I33" i="1"/>
  <c r="K33" i="1" s="1"/>
  <c r="J32" i="1"/>
  <c r="I32" i="1"/>
  <c r="K32" i="1" s="1"/>
  <c r="J31" i="1"/>
  <c r="I31" i="1"/>
  <c r="K31" i="1" s="1"/>
  <c r="J30" i="1"/>
  <c r="I30" i="1"/>
  <c r="K30" i="1" s="1"/>
  <c r="J29" i="1"/>
  <c r="I29" i="1"/>
  <c r="K29" i="1" s="1"/>
  <c r="J28" i="1"/>
  <c r="I28" i="1"/>
  <c r="K28" i="1" s="1"/>
  <c r="J27" i="1"/>
  <c r="I27" i="1"/>
  <c r="K27" i="1" s="1"/>
  <c r="J26" i="1"/>
  <c r="I26" i="1"/>
  <c r="K26" i="1" s="1"/>
  <c r="J25" i="1"/>
  <c r="I25" i="1"/>
  <c r="K25" i="1" s="1"/>
  <c r="K16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K4" i="1" s="1"/>
  <c r="J3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K3" i="1" l="1"/>
  <c r="K46" i="1"/>
  <c r="K13" i="1"/>
  <c r="K7" i="1"/>
  <c r="K19" i="1"/>
  <c r="K11" i="1"/>
  <c r="K23" i="1"/>
  <c r="K12" i="1"/>
  <c r="K24" i="1"/>
  <c r="K17" i="1"/>
  <c r="K18" i="1"/>
  <c r="K5" i="1"/>
  <c r="K6" i="1"/>
  <c r="K20" i="1"/>
  <c r="K8" i="1"/>
  <c r="K9" i="1"/>
  <c r="K21" i="1"/>
  <c r="K10" i="1"/>
  <c r="K22" i="1"/>
  <c r="K14" i="1"/>
  <c r="K15" i="1"/>
</calcChain>
</file>

<file path=xl/sharedStrings.xml><?xml version="1.0" encoding="utf-8"?>
<sst xmlns="http://schemas.openxmlformats.org/spreadsheetml/2006/main" count="57" uniqueCount="35">
  <si>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</si>
  <si>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</si>
  <si>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</si>
  <si>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</si>
  <si>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</si>
  <si>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</si>
  <si>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</si>
  <si>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</si>
  <si>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</si>
  <si>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</si>
  <si>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</si>
  <si>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</si>
  <si>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</si>
  <si>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</si>
  <si>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</si>
  <si>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</si>
  <si>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</si>
  <si>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</si>
  <si>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</si>
  <si>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</si>
  <si>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</si>
  <si>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</si>
  <si>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</si>
  <si>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</si>
  <si>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</si>
  <si>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</si>
  <si>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</si>
  <si>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</si>
  <si>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</si>
  <si>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</si>
  <si>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</si>
  <si>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</si>
  <si>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</si>
  <si>
    <t>ARPU</t>
  </si>
  <si>
    <t>Meta bajas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</si>
</sst>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7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</font>
    <font>
      <b/>
      <i/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ECECEC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6" fillId="0" borderId="1" xfId="0" applyNumberFormat="1" applyFont="1" applyBorder="1"/>
    <xf numFmtId="164" fontId="6" fillId="0" borderId="1" xfId="0" applyNumberFormat="1" applyFont="1" applyBorder="1" applyAlignment="1">
      <alignment horizontal="center" vertical="center"/>
    </xf>
    <xf numFmtId="165" fontId="6" fillId="0" borderId="3" xfId="0" applyNumberFormat="1" applyFont="1" applyBorder="1"/>
    <xf numFmtId="0" fontId="5" fillId="0" borderId="4" xfId="0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6" fillId="0" borderId="5" xfId="0" applyNumberFormat="1" applyFont="1" applyBorder="1"/>
    <xf numFmtId="164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/>
    <xf numFmtId="0" fontId="0" fillId="0" borderId="0" xfId="0" applyBorder="1"/>
  </cellXfs>
  <cellStyles count="1">
    <cellStyle name="Normal" xfId="0" builtinId="0"/>
  </cellStyles>
  <dxfs count="1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M46" totalsRowShown="0" tableBorderDxfId="12">
  <autoFilter ref="A2:M46" xr:uid="{270C0CE8-2C9D-4E45-89F3-304CDC43FD91}"/>
  <tableColumns count="13">
    <tableColumn id="1" xr3:uid="{77AEC5E1-75A8-4D26-B7C6-FEB178F6E1C1}" name="Sucursales" dataDxfId="11"/>
    <tableColumn id="2" xr3:uid="{7462DAAF-6DB4-4405-8508-73A33ADDFB4F}" name="Meta FAYCGO " dataDxfId="10"/>
    <tableColumn id="3" xr3:uid="{26715BA0-E2DF-41F2-B9B9-1F62E0CE5131}" name="Usuarios 1ro de mes" dataDxfId="9"/>
    <tableColumn id="4" xr3:uid="{E3FCE66C-E111-4B4A-B40C-792E067D7C45}" name="Proyecciòn Usuarios activos a fin de mes" dataDxfId="8"/>
    <tableColumn id="5" xr3:uid="{66334719-0049-403A-B612-EEE7CDCFD91E}" name="Meta de clientes nuevos" dataDxfId="7"/>
    <tableColumn id="11" xr3:uid="{3747F394-BC92-4DF9-82AB-77A6FF06F22A}" name="Meta reactivaciones" dataDxfId="6"/>
    <tableColumn id="12" xr3:uid="{C523342F-9057-4D3B-8835-7F6D9A6E1EFD}" name="ARPU" dataDxfId="5"/>
    <tableColumn id="13" xr3:uid="{A191A5EF-FD11-4DA3-ABF9-6BFF96600642}" name="Meta bajas" dataDxfId="4"/>
    <tableColumn id="6" xr3:uid="{E4A3EC2D-E11C-4CA1-BFB3-B808B639E6CC}" name="Bebidas" dataDxfId="3">
      <calculatedColumnFormula>B3*0.07</calculatedColumnFormula>
    </tableColumn>
    <tableColumn id="7" xr3:uid="{019A4BB1-5D06-464D-AA21-8078EFD6DBF4}" name="Artículos" dataDxfId="2">
      <calculatedColumnFormula>(B3*0.013)</calculatedColumnFormula>
    </tableColumn>
    <tableColumn id="8" xr3:uid="{70BCCEC0-77FB-4C5B-A333-BAA74285D0C7}" name="Tienda" dataDxfId="1">
      <calculatedColumnFormula>I3+J3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M46"/>
  <sheetViews>
    <sheetView tabSelected="1" topLeftCell="A10" workbookViewId="0">
      <selection activeCell="C25" sqref="C25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8" bestFit="1" customWidth="1"/>
    <col min="8" max="8" width="9.88671875" customWidth="1"/>
    <col min="9" max="9" width="10.44140625" customWidth="1"/>
    <col min="10" max="10" width="9.77734375" bestFit="1" customWidth="1"/>
    <col min="11" max="12" width="11.6640625" customWidth="1"/>
  </cols>
  <sheetData>
    <row r="2" spans="1:13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33</v>
      </c>
      <c r="H2" t="s">
        <v>34</v>
      </c>
      <c r="I2" t="s">
        <v>23</v>
      </c>
      <c r="J2" t="s">
        <v>24</v>
      </c>
      <c r="K2" t="s">
        <v>25</v>
      </c>
      <c r="L2" t="s">
        <v>30</v>
      </c>
      <c r="M2" t="s">
        <v>31</v>
      </c>
    </row>
    <row r="3" spans="1:13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2">
        <v>613</v>
      </c>
      <c r="H3" s="8">
        <v>287</v>
      </c>
      <c r="I3" s="4">
        <f t="shared" ref="I3:I24" si="0">B3*0.07</f>
        <v>54881.890000000007</v>
      </c>
      <c r="J3" s="5">
        <f t="shared" ref="J3:J24" si="1">(B3*0.013)</f>
        <v>10192.350999999999</v>
      </c>
      <c r="K3" s="6">
        <f>I3+J3</f>
        <v>65074.241000000009</v>
      </c>
      <c r="L3">
        <v>2025</v>
      </c>
      <c r="M3">
        <v>11</v>
      </c>
    </row>
    <row r="4" spans="1:13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2">
        <v>601</v>
      </c>
      <c r="H4" s="8">
        <v>198</v>
      </c>
      <c r="I4" s="4">
        <f t="shared" si="0"/>
        <v>47539.100000000006</v>
      </c>
      <c r="J4" s="5">
        <f t="shared" si="1"/>
        <v>8828.6899999999987</v>
      </c>
      <c r="K4" s="6">
        <f t="shared" ref="K4:K24" si="2">I4+J4</f>
        <v>56367.790000000008</v>
      </c>
      <c r="L4">
        <v>2025</v>
      </c>
      <c r="M4">
        <v>11</v>
      </c>
    </row>
    <row r="5" spans="1:13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2">
        <v>596</v>
      </c>
      <c r="H5" s="8">
        <v>226</v>
      </c>
      <c r="I5" s="4">
        <f t="shared" si="0"/>
        <v>58825.200000000004</v>
      </c>
      <c r="J5" s="5">
        <f t="shared" si="1"/>
        <v>10924.68</v>
      </c>
      <c r="K5" s="6">
        <f t="shared" si="2"/>
        <v>69749.88</v>
      </c>
      <c r="L5">
        <v>2025</v>
      </c>
      <c r="M5">
        <v>11</v>
      </c>
    </row>
    <row r="6" spans="1:13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2">
        <v>589</v>
      </c>
      <c r="H6" s="8">
        <v>225</v>
      </c>
      <c r="I6" s="4">
        <f t="shared" si="0"/>
        <v>55701.73</v>
      </c>
      <c r="J6" s="5">
        <f t="shared" si="1"/>
        <v>10344.607</v>
      </c>
      <c r="K6" s="6">
        <f t="shared" si="2"/>
        <v>66046.337</v>
      </c>
      <c r="L6">
        <v>2025</v>
      </c>
      <c r="M6">
        <v>11</v>
      </c>
    </row>
    <row r="7" spans="1:13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2">
        <v>580</v>
      </c>
      <c r="H7" s="8">
        <v>403</v>
      </c>
      <c r="I7" s="4">
        <f t="shared" si="0"/>
        <v>78682.8</v>
      </c>
      <c r="J7" s="5">
        <f t="shared" si="1"/>
        <v>14612.519999999999</v>
      </c>
      <c r="K7" s="6">
        <f t="shared" si="2"/>
        <v>93295.32</v>
      </c>
      <c r="L7">
        <v>2025</v>
      </c>
      <c r="M7">
        <v>11</v>
      </c>
    </row>
    <row r="8" spans="1:13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2">
        <v>597</v>
      </c>
      <c r="H8" s="8">
        <v>221</v>
      </c>
      <c r="I8" s="4">
        <f t="shared" si="0"/>
        <v>52070.340000000004</v>
      </c>
      <c r="J8" s="5">
        <f t="shared" si="1"/>
        <v>9670.2060000000001</v>
      </c>
      <c r="K8" s="6">
        <f t="shared" si="2"/>
        <v>61740.546000000002</v>
      </c>
      <c r="L8">
        <v>2025</v>
      </c>
      <c r="M8">
        <v>11</v>
      </c>
    </row>
    <row r="9" spans="1:13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2">
        <v>629</v>
      </c>
      <c r="H9" s="8">
        <v>236</v>
      </c>
      <c r="I9" s="4">
        <f t="shared" si="0"/>
        <v>46803.890000000007</v>
      </c>
      <c r="J9" s="5">
        <f t="shared" si="1"/>
        <v>8692.1509999999998</v>
      </c>
      <c r="K9" s="6">
        <f t="shared" si="2"/>
        <v>55496.041000000005</v>
      </c>
      <c r="L9">
        <v>2025</v>
      </c>
      <c r="M9">
        <v>11</v>
      </c>
    </row>
    <row r="10" spans="1:13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2">
        <v>600</v>
      </c>
      <c r="H10" s="8">
        <v>419</v>
      </c>
      <c r="I10" s="4">
        <f t="shared" si="0"/>
        <v>65562</v>
      </c>
      <c r="J10" s="5">
        <f t="shared" si="1"/>
        <v>12175.8</v>
      </c>
      <c r="K10" s="6">
        <f t="shared" si="2"/>
        <v>77737.8</v>
      </c>
      <c r="L10">
        <v>2025</v>
      </c>
      <c r="M10">
        <v>11</v>
      </c>
    </row>
    <row r="11" spans="1:13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2">
        <v>656</v>
      </c>
      <c r="H11" s="8">
        <v>526</v>
      </c>
      <c r="I11" s="4">
        <f t="shared" si="0"/>
        <v>111677.44000000002</v>
      </c>
      <c r="J11" s="5">
        <f t="shared" si="1"/>
        <v>20740.095999999998</v>
      </c>
      <c r="K11" s="6">
        <f t="shared" si="2"/>
        <v>132417.53600000002</v>
      </c>
      <c r="L11">
        <v>2025</v>
      </c>
      <c r="M11">
        <v>11</v>
      </c>
    </row>
    <row r="12" spans="1:13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2">
        <v>607</v>
      </c>
      <c r="H12" s="8">
        <v>154</v>
      </c>
      <c r="I12" s="4">
        <f t="shared" si="0"/>
        <v>28170.870000000003</v>
      </c>
      <c r="J12" s="5">
        <f t="shared" si="1"/>
        <v>5231.7330000000002</v>
      </c>
      <c r="K12" s="6">
        <f t="shared" si="2"/>
        <v>33402.603000000003</v>
      </c>
      <c r="L12">
        <v>2025</v>
      </c>
      <c r="M12">
        <v>11</v>
      </c>
    </row>
    <row r="13" spans="1:13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2">
        <v>595</v>
      </c>
      <c r="H13" s="8">
        <v>391</v>
      </c>
      <c r="I13" s="4">
        <f t="shared" si="0"/>
        <v>79259.950000000012</v>
      </c>
      <c r="J13" s="5">
        <f t="shared" si="1"/>
        <v>14719.705</v>
      </c>
      <c r="K13" s="6">
        <f t="shared" si="2"/>
        <v>93979.655000000013</v>
      </c>
      <c r="L13">
        <v>2025</v>
      </c>
      <c r="M13">
        <v>11</v>
      </c>
    </row>
    <row r="14" spans="1:13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2">
        <v>622</v>
      </c>
      <c r="H14" s="8">
        <v>377</v>
      </c>
      <c r="I14" s="4">
        <f t="shared" si="0"/>
        <v>76499.780000000013</v>
      </c>
      <c r="J14" s="5">
        <f t="shared" si="1"/>
        <v>14207.101999999999</v>
      </c>
      <c r="K14" s="6">
        <f t="shared" si="2"/>
        <v>90706.882000000012</v>
      </c>
      <c r="L14">
        <v>2025</v>
      </c>
      <c r="M14">
        <v>11</v>
      </c>
    </row>
    <row r="15" spans="1:13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2">
        <v>592</v>
      </c>
      <c r="H15" s="8">
        <v>168</v>
      </c>
      <c r="I15" s="4">
        <f t="shared" si="0"/>
        <v>53167.520000000004</v>
      </c>
      <c r="J15" s="5">
        <f t="shared" si="1"/>
        <v>9873.9679999999989</v>
      </c>
      <c r="K15" s="6">
        <f t="shared" si="2"/>
        <v>63041.488000000005</v>
      </c>
      <c r="L15">
        <v>2025</v>
      </c>
      <c r="M15">
        <v>11</v>
      </c>
    </row>
    <row r="16" spans="1:13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2">
        <v>553</v>
      </c>
      <c r="H16" s="8">
        <v>250</v>
      </c>
      <c r="I16" s="4">
        <f t="shared" si="0"/>
        <v>61394.060000000005</v>
      </c>
      <c r="J16" s="5">
        <f t="shared" si="1"/>
        <v>11401.753999999999</v>
      </c>
      <c r="K16" s="6">
        <f t="shared" si="2"/>
        <v>72795.813999999998</v>
      </c>
      <c r="L16">
        <v>2025</v>
      </c>
      <c r="M16">
        <v>11</v>
      </c>
    </row>
    <row r="17" spans="1:13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2">
        <v>591</v>
      </c>
      <c r="H17" s="8">
        <v>255</v>
      </c>
      <c r="I17" s="4">
        <f t="shared" si="0"/>
        <v>59365.950000000004</v>
      </c>
      <c r="J17" s="5">
        <f t="shared" si="1"/>
        <v>11025.105</v>
      </c>
      <c r="K17" s="6">
        <f t="shared" si="2"/>
        <v>70391.055000000008</v>
      </c>
      <c r="L17">
        <v>2025</v>
      </c>
      <c r="M17">
        <v>11</v>
      </c>
    </row>
    <row r="18" spans="1:13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2">
        <v>568</v>
      </c>
      <c r="H18" s="8">
        <v>254</v>
      </c>
      <c r="I18" s="4">
        <f t="shared" si="0"/>
        <v>48546.960000000006</v>
      </c>
      <c r="J18" s="5">
        <f t="shared" si="1"/>
        <v>9015.8639999999996</v>
      </c>
      <c r="K18" s="6">
        <f t="shared" si="2"/>
        <v>57562.824000000008</v>
      </c>
      <c r="L18">
        <v>2025</v>
      </c>
      <c r="M18">
        <v>11</v>
      </c>
    </row>
    <row r="19" spans="1:13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2">
        <v>609</v>
      </c>
      <c r="H19" s="8">
        <v>242</v>
      </c>
      <c r="I19" s="4">
        <f t="shared" si="0"/>
        <v>42288.960000000006</v>
      </c>
      <c r="J19" s="5">
        <f t="shared" si="1"/>
        <v>7853.6639999999998</v>
      </c>
      <c r="K19" s="6">
        <f t="shared" si="2"/>
        <v>50142.624000000003</v>
      </c>
      <c r="L19">
        <v>2025</v>
      </c>
      <c r="M19">
        <v>11</v>
      </c>
    </row>
    <row r="20" spans="1:13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2">
        <v>628</v>
      </c>
      <c r="H20" s="8">
        <v>309</v>
      </c>
      <c r="I20" s="4">
        <f t="shared" si="0"/>
        <v>77545.440000000002</v>
      </c>
      <c r="J20" s="5">
        <f t="shared" si="1"/>
        <v>14401.295999999998</v>
      </c>
      <c r="K20" s="6">
        <f t="shared" si="2"/>
        <v>91946.736000000004</v>
      </c>
      <c r="L20">
        <v>2025</v>
      </c>
      <c r="M20">
        <v>11</v>
      </c>
    </row>
    <row r="21" spans="1:13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2">
        <v>628</v>
      </c>
      <c r="H21" s="8">
        <v>164</v>
      </c>
      <c r="I21" s="4">
        <f t="shared" si="0"/>
        <v>41893.880000000005</v>
      </c>
      <c r="J21" s="5">
        <f t="shared" si="1"/>
        <v>7780.2919999999995</v>
      </c>
      <c r="K21" s="6">
        <f t="shared" si="2"/>
        <v>49674.172000000006</v>
      </c>
      <c r="L21">
        <v>2025</v>
      </c>
      <c r="M21">
        <v>11</v>
      </c>
    </row>
    <row r="22" spans="1:13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2">
        <v>568</v>
      </c>
      <c r="H22" s="8">
        <v>250</v>
      </c>
      <c r="I22" s="4">
        <f t="shared" si="0"/>
        <v>56578.48</v>
      </c>
      <c r="J22" s="5">
        <f t="shared" si="1"/>
        <v>10507.431999999999</v>
      </c>
      <c r="K22" s="6">
        <f t="shared" si="2"/>
        <v>67085.911999999997</v>
      </c>
      <c r="L22">
        <v>2025</v>
      </c>
      <c r="M22">
        <v>11</v>
      </c>
    </row>
    <row r="23" spans="1:13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2">
        <v>681</v>
      </c>
      <c r="H23" s="8">
        <v>172</v>
      </c>
      <c r="I23" s="4">
        <f t="shared" si="0"/>
        <v>55297.200000000004</v>
      </c>
      <c r="J23" s="5">
        <f t="shared" si="1"/>
        <v>10269.48</v>
      </c>
      <c r="K23" s="6">
        <f t="shared" si="2"/>
        <v>65566.680000000008</v>
      </c>
      <c r="L23">
        <v>2025</v>
      </c>
      <c r="M23">
        <v>11</v>
      </c>
    </row>
    <row r="24" spans="1:13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2">
        <v>642</v>
      </c>
      <c r="H24" s="8">
        <v>47</v>
      </c>
      <c r="I24" s="4">
        <f t="shared" si="0"/>
        <v>67275.180000000008</v>
      </c>
      <c r="J24" s="5">
        <f t="shared" si="1"/>
        <v>12493.962</v>
      </c>
      <c r="K24" s="6">
        <f t="shared" si="2"/>
        <v>79769.142000000007</v>
      </c>
      <c r="L24">
        <v>2025</v>
      </c>
      <c r="M24">
        <v>11</v>
      </c>
    </row>
    <row r="25" spans="1:13" x14ac:dyDescent="0.3">
      <c r="A25" s="9" t="s">
        <v>0</v>
      </c>
      <c r="B25" s="10">
        <v>784027</v>
      </c>
      <c r="C25" s="8">
        <v>1313</v>
      </c>
      <c r="D25" s="11">
        <v>1307</v>
      </c>
      <c r="E25" s="8">
        <v>153</v>
      </c>
      <c r="F25" s="2">
        <v>114</v>
      </c>
      <c r="G25" s="2">
        <v>613</v>
      </c>
      <c r="H25" s="2">
        <v>287</v>
      </c>
      <c r="I25" s="12">
        <f t="shared" ref="I25:I46" si="3">B25*0.07</f>
        <v>54881.890000000007</v>
      </c>
      <c r="J25" s="13">
        <f t="shared" ref="J25:J46" si="4">(B25*0.013)</f>
        <v>10192.350999999999</v>
      </c>
      <c r="K25" s="14">
        <f>I25+J25</f>
        <v>65074.241000000009</v>
      </c>
      <c r="L25" s="23">
        <v>2025</v>
      </c>
      <c r="M25" s="23">
        <v>12</v>
      </c>
    </row>
    <row r="26" spans="1:13" x14ac:dyDescent="0.3">
      <c r="A26" s="9" t="s">
        <v>1</v>
      </c>
      <c r="B26" s="10">
        <v>679130</v>
      </c>
      <c r="C26" s="8">
        <v>1133</v>
      </c>
      <c r="D26" s="11">
        <v>1104</v>
      </c>
      <c r="E26" s="8">
        <v>81</v>
      </c>
      <c r="F26" s="2">
        <v>102</v>
      </c>
      <c r="G26" s="2">
        <v>601</v>
      </c>
      <c r="H26" s="2">
        <v>198</v>
      </c>
      <c r="I26" s="12">
        <f t="shared" si="3"/>
        <v>47539.100000000006</v>
      </c>
      <c r="J26" s="13">
        <f t="shared" si="4"/>
        <v>8828.6899999999987</v>
      </c>
      <c r="K26" s="14">
        <f t="shared" ref="K26:K46" si="5">I26+J26</f>
        <v>56367.790000000008</v>
      </c>
      <c r="L26" s="23">
        <v>2025</v>
      </c>
      <c r="M26" s="23">
        <v>12</v>
      </c>
    </row>
    <row r="27" spans="1:13" x14ac:dyDescent="0.3">
      <c r="A27" s="9" t="s">
        <v>2</v>
      </c>
      <c r="B27" s="10">
        <v>840360</v>
      </c>
      <c r="C27" s="8">
        <v>1317</v>
      </c>
      <c r="D27" s="11">
        <v>1302</v>
      </c>
      <c r="E27" s="8">
        <v>106</v>
      </c>
      <c r="F27" s="2">
        <v>182</v>
      </c>
      <c r="G27" s="2">
        <v>596</v>
      </c>
      <c r="H27" s="2">
        <v>226</v>
      </c>
      <c r="I27" s="12">
        <f t="shared" si="3"/>
        <v>58825.200000000004</v>
      </c>
      <c r="J27" s="13">
        <f t="shared" si="4"/>
        <v>10924.68</v>
      </c>
      <c r="K27" s="14">
        <f t="shared" si="5"/>
        <v>69749.88</v>
      </c>
      <c r="L27" s="23">
        <v>2025</v>
      </c>
      <c r="M27" s="23">
        <v>12</v>
      </c>
    </row>
    <row r="28" spans="1:13" x14ac:dyDescent="0.3">
      <c r="A28" s="9" t="s">
        <v>3</v>
      </c>
      <c r="B28" s="10">
        <v>795739</v>
      </c>
      <c r="C28" s="8">
        <v>1302</v>
      </c>
      <c r="D28" s="11">
        <v>1316</v>
      </c>
      <c r="E28" s="8">
        <v>107</v>
      </c>
      <c r="F28" s="2">
        <v>121</v>
      </c>
      <c r="G28" s="2">
        <v>589</v>
      </c>
      <c r="H28" s="2">
        <v>225</v>
      </c>
      <c r="I28" s="12">
        <f t="shared" si="3"/>
        <v>55701.73</v>
      </c>
      <c r="J28" s="13">
        <f t="shared" si="4"/>
        <v>10344.607</v>
      </c>
      <c r="K28" s="14">
        <f t="shared" si="5"/>
        <v>66046.337</v>
      </c>
      <c r="L28" s="23">
        <v>2025</v>
      </c>
      <c r="M28" s="23">
        <v>12</v>
      </c>
    </row>
    <row r="29" spans="1:13" x14ac:dyDescent="0.3">
      <c r="A29" s="9" t="s">
        <v>4</v>
      </c>
      <c r="B29" s="10">
        <v>1124040</v>
      </c>
      <c r="C29" s="8">
        <v>1929</v>
      </c>
      <c r="D29" s="11">
        <v>1915</v>
      </c>
      <c r="E29" s="8">
        <v>158</v>
      </c>
      <c r="F29" s="2">
        <v>188</v>
      </c>
      <c r="G29" s="2">
        <v>580</v>
      </c>
      <c r="H29" s="2">
        <v>403</v>
      </c>
      <c r="I29" s="12">
        <f t="shared" si="3"/>
        <v>78682.8</v>
      </c>
      <c r="J29" s="13">
        <f t="shared" si="4"/>
        <v>14612.519999999999</v>
      </c>
      <c r="K29" s="14">
        <f t="shared" si="5"/>
        <v>93295.32</v>
      </c>
      <c r="L29" s="23">
        <v>2025</v>
      </c>
      <c r="M29" s="23">
        <v>12</v>
      </c>
    </row>
    <row r="30" spans="1:13" x14ac:dyDescent="0.3">
      <c r="A30" s="9" t="s">
        <v>5</v>
      </c>
      <c r="B30" s="10">
        <v>743862</v>
      </c>
      <c r="C30" s="8">
        <v>1187</v>
      </c>
      <c r="D30" s="11">
        <v>1172</v>
      </c>
      <c r="E30" s="8">
        <v>115</v>
      </c>
      <c r="F30" s="2">
        <v>126</v>
      </c>
      <c r="G30" s="2">
        <v>597</v>
      </c>
      <c r="H30" s="2">
        <v>221</v>
      </c>
      <c r="I30" s="12">
        <f t="shared" si="3"/>
        <v>52070.340000000004</v>
      </c>
      <c r="J30" s="13">
        <f t="shared" si="4"/>
        <v>9670.2060000000001</v>
      </c>
      <c r="K30" s="14">
        <f t="shared" si="5"/>
        <v>61740.546000000002</v>
      </c>
      <c r="L30" s="23">
        <v>2025</v>
      </c>
      <c r="M30" s="23">
        <v>12</v>
      </c>
    </row>
    <row r="31" spans="1:13" x14ac:dyDescent="0.3">
      <c r="A31" s="9" t="s">
        <v>6</v>
      </c>
      <c r="B31" s="10">
        <v>668627</v>
      </c>
      <c r="C31" s="8">
        <v>1028</v>
      </c>
      <c r="D31" s="11">
        <v>1048</v>
      </c>
      <c r="E31" s="8">
        <v>170</v>
      </c>
      <c r="F31" s="2">
        <v>128</v>
      </c>
      <c r="G31" s="2">
        <v>629</v>
      </c>
      <c r="H31" s="2">
        <v>236</v>
      </c>
      <c r="I31" s="12">
        <f t="shared" si="3"/>
        <v>46803.890000000007</v>
      </c>
      <c r="J31" s="13">
        <f t="shared" si="4"/>
        <v>8692.1509999999998</v>
      </c>
      <c r="K31" s="14">
        <f t="shared" si="5"/>
        <v>55496.041000000005</v>
      </c>
      <c r="L31" s="23">
        <v>2025</v>
      </c>
      <c r="M31" s="23">
        <v>12</v>
      </c>
    </row>
    <row r="32" spans="1:13" x14ac:dyDescent="0.3">
      <c r="A32" s="9" t="s">
        <v>7</v>
      </c>
      <c r="B32" s="10">
        <v>936600</v>
      </c>
      <c r="C32" s="8">
        <v>1626</v>
      </c>
      <c r="D32" s="11">
        <v>1505</v>
      </c>
      <c r="E32" s="8">
        <v>126</v>
      </c>
      <c r="F32" s="2">
        <v>202</v>
      </c>
      <c r="G32" s="2">
        <v>600</v>
      </c>
      <c r="H32" s="2">
        <v>419</v>
      </c>
      <c r="I32" s="12">
        <f t="shared" si="3"/>
        <v>65562</v>
      </c>
      <c r="J32" s="13">
        <f t="shared" si="4"/>
        <v>12175.8</v>
      </c>
      <c r="K32" s="14">
        <f t="shared" si="5"/>
        <v>77737.8</v>
      </c>
      <c r="L32" s="23">
        <v>2025</v>
      </c>
      <c r="M32" s="23">
        <v>12</v>
      </c>
    </row>
    <row r="33" spans="1:13" x14ac:dyDescent="0.3">
      <c r="A33" s="9" t="s">
        <v>8</v>
      </c>
      <c r="B33" s="10">
        <v>1595392</v>
      </c>
      <c r="C33" s="8">
        <v>2291</v>
      </c>
      <c r="D33" s="11">
        <v>2257</v>
      </c>
      <c r="E33" s="8">
        <v>258</v>
      </c>
      <c r="F33" s="2">
        <v>304</v>
      </c>
      <c r="G33" s="2">
        <v>656</v>
      </c>
      <c r="H33" s="2">
        <v>526</v>
      </c>
      <c r="I33" s="12">
        <f t="shared" si="3"/>
        <v>111677.44000000002</v>
      </c>
      <c r="J33" s="13">
        <f t="shared" si="4"/>
        <v>20740.095999999998</v>
      </c>
      <c r="K33" s="14">
        <f t="shared" si="5"/>
        <v>132417.53600000002</v>
      </c>
      <c r="L33" s="23">
        <v>2025</v>
      </c>
      <c r="M33" s="23">
        <v>12</v>
      </c>
    </row>
    <row r="34" spans="1:13" x14ac:dyDescent="0.3">
      <c r="A34" s="9" t="s">
        <v>9</v>
      </c>
      <c r="B34" s="10">
        <v>402441</v>
      </c>
      <c r="C34" s="8">
        <v>608</v>
      </c>
      <c r="D34" s="11">
        <v>618</v>
      </c>
      <c r="E34" s="8">
        <v>97</v>
      </c>
      <c r="F34" s="2">
        <v>83</v>
      </c>
      <c r="G34" s="2">
        <v>607</v>
      </c>
      <c r="H34" s="2">
        <v>154</v>
      </c>
      <c r="I34" s="12">
        <f t="shared" si="3"/>
        <v>28170.870000000003</v>
      </c>
      <c r="J34" s="13">
        <f t="shared" si="4"/>
        <v>5231.7330000000002</v>
      </c>
      <c r="K34" s="14">
        <f t="shared" si="5"/>
        <v>33402.603000000003</v>
      </c>
      <c r="L34" s="23">
        <v>2025</v>
      </c>
      <c r="M34" s="23">
        <v>12</v>
      </c>
    </row>
    <row r="35" spans="1:13" x14ac:dyDescent="0.3">
      <c r="A35" s="9" t="s">
        <v>10</v>
      </c>
      <c r="B35" s="10">
        <v>1132285</v>
      </c>
      <c r="C35" s="8">
        <v>1850</v>
      </c>
      <c r="D35" s="11">
        <v>1818</v>
      </c>
      <c r="E35" s="8">
        <v>177</v>
      </c>
      <c r="F35" s="2">
        <v>182</v>
      </c>
      <c r="G35" s="2">
        <v>595</v>
      </c>
      <c r="H35" s="2">
        <v>391</v>
      </c>
      <c r="I35" s="12">
        <f t="shared" si="3"/>
        <v>79259.950000000012</v>
      </c>
      <c r="J35" s="13">
        <f t="shared" si="4"/>
        <v>14719.705</v>
      </c>
      <c r="K35" s="14">
        <f t="shared" si="5"/>
        <v>93979.655000000013</v>
      </c>
      <c r="L35" s="23">
        <v>2025</v>
      </c>
      <c r="M35" s="23">
        <v>12</v>
      </c>
    </row>
    <row r="36" spans="1:13" x14ac:dyDescent="0.3">
      <c r="A36" s="9" t="s">
        <v>11</v>
      </c>
      <c r="B36" s="10">
        <v>1092854</v>
      </c>
      <c r="C36" s="8">
        <v>1665</v>
      </c>
      <c r="D36" s="11">
        <v>1637</v>
      </c>
      <c r="E36" s="8">
        <v>164</v>
      </c>
      <c r="F36" s="2">
        <v>168</v>
      </c>
      <c r="G36" s="2">
        <v>622</v>
      </c>
      <c r="H36" s="2">
        <v>377</v>
      </c>
      <c r="I36" s="12">
        <f t="shared" si="3"/>
        <v>76499.780000000013</v>
      </c>
      <c r="J36" s="13">
        <f t="shared" si="4"/>
        <v>14207.101999999999</v>
      </c>
      <c r="K36" s="14">
        <f t="shared" si="5"/>
        <v>90706.882000000012</v>
      </c>
      <c r="L36" s="23">
        <v>2025</v>
      </c>
      <c r="M36" s="23">
        <v>12</v>
      </c>
    </row>
    <row r="37" spans="1:13" x14ac:dyDescent="0.3">
      <c r="A37" s="9" t="s">
        <v>12</v>
      </c>
      <c r="B37" s="10">
        <v>759536</v>
      </c>
      <c r="C37" s="8">
        <v>1176</v>
      </c>
      <c r="D37" s="11">
        <v>1245</v>
      </c>
      <c r="E37" s="8">
        <v>132</v>
      </c>
      <c r="F37" s="2">
        <v>123</v>
      </c>
      <c r="G37" s="2">
        <v>592</v>
      </c>
      <c r="H37" s="2">
        <v>168</v>
      </c>
      <c r="I37" s="12">
        <f t="shared" si="3"/>
        <v>53167.520000000004</v>
      </c>
      <c r="J37" s="13">
        <f t="shared" si="4"/>
        <v>9873.9679999999989</v>
      </c>
      <c r="K37" s="14">
        <f t="shared" si="5"/>
        <v>63041.488000000005</v>
      </c>
      <c r="L37" s="23">
        <v>2025</v>
      </c>
      <c r="M37" s="23">
        <v>12</v>
      </c>
    </row>
    <row r="38" spans="1:13" x14ac:dyDescent="0.3">
      <c r="A38" s="9" t="s">
        <v>13</v>
      </c>
      <c r="B38" s="10">
        <v>877058</v>
      </c>
      <c r="C38" s="8">
        <v>1613</v>
      </c>
      <c r="D38" s="11">
        <v>1597</v>
      </c>
      <c r="E38" s="8">
        <v>120</v>
      </c>
      <c r="F38" s="2">
        <v>159</v>
      </c>
      <c r="G38" s="2">
        <v>553</v>
      </c>
      <c r="H38" s="2">
        <v>250</v>
      </c>
      <c r="I38" s="12">
        <f t="shared" si="3"/>
        <v>61394.060000000005</v>
      </c>
      <c r="J38" s="13">
        <f t="shared" si="4"/>
        <v>11401.753999999999</v>
      </c>
      <c r="K38" s="14">
        <f t="shared" si="5"/>
        <v>72795.813999999998</v>
      </c>
      <c r="L38" s="23">
        <v>2025</v>
      </c>
      <c r="M38" s="23">
        <v>12</v>
      </c>
    </row>
    <row r="39" spans="1:13" x14ac:dyDescent="0.3">
      <c r="A39" s="9" t="s">
        <v>14</v>
      </c>
      <c r="B39" s="10">
        <v>848085</v>
      </c>
      <c r="C39" s="8">
        <v>1411</v>
      </c>
      <c r="D39" s="11">
        <v>1396</v>
      </c>
      <c r="E39" s="8">
        <v>116</v>
      </c>
      <c r="F39" s="2">
        <v>147</v>
      </c>
      <c r="G39" s="2">
        <v>591</v>
      </c>
      <c r="H39" s="2">
        <v>255</v>
      </c>
      <c r="I39" s="12">
        <f t="shared" si="3"/>
        <v>59365.950000000004</v>
      </c>
      <c r="J39" s="13">
        <f t="shared" si="4"/>
        <v>11025.105</v>
      </c>
      <c r="K39" s="14">
        <f t="shared" si="5"/>
        <v>70391.055000000008</v>
      </c>
      <c r="L39" s="23">
        <v>2025</v>
      </c>
      <c r="M39" s="23">
        <v>12</v>
      </c>
    </row>
    <row r="40" spans="1:13" x14ac:dyDescent="0.3">
      <c r="A40" s="9" t="s">
        <v>15</v>
      </c>
      <c r="B40" s="10">
        <v>693528</v>
      </c>
      <c r="C40" s="8">
        <v>1209</v>
      </c>
      <c r="D40" s="11">
        <v>1172</v>
      </c>
      <c r="E40" s="8">
        <v>101</v>
      </c>
      <c r="F40" s="2">
        <v>101</v>
      </c>
      <c r="G40" s="2">
        <v>568</v>
      </c>
      <c r="H40" s="2">
        <v>254</v>
      </c>
      <c r="I40" s="12">
        <f t="shared" si="3"/>
        <v>48546.960000000006</v>
      </c>
      <c r="J40" s="13">
        <f t="shared" si="4"/>
        <v>9015.8639999999996</v>
      </c>
      <c r="K40" s="14">
        <f t="shared" si="5"/>
        <v>57562.824000000008</v>
      </c>
      <c r="L40" s="23">
        <v>2025</v>
      </c>
      <c r="M40" s="23">
        <v>12</v>
      </c>
    </row>
    <row r="41" spans="1:13" x14ac:dyDescent="0.3">
      <c r="A41" s="9" t="s">
        <v>16</v>
      </c>
      <c r="B41" s="10">
        <v>604128</v>
      </c>
      <c r="C41" s="8">
        <v>1015</v>
      </c>
      <c r="D41" s="11">
        <v>991</v>
      </c>
      <c r="E41" s="8">
        <v>106</v>
      </c>
      <c r="F41" s="2">
        <v>106</v>
      </c>
      <c r="G41" s="2">
        <v>609</v>
      </c>
      <c r="H41" s="2">
        <v>242</v>
      </c>
      <c r="I41" s="12">
        <f t="shared" si="3"/>
        <v>42288.960000000006</v>
      </c>
      <c r="J41" s="13">
        <f t="shared" si="4"/>
        <v>7853.6639999999998</v>
      </c>
      <c r="K41" s="14">
        <f t="shared" si="5"/>
        <v>50142.624000000003</v>
      </c>
      <c r="L41" s="23">
        <v>2025</v>
      </c>
      <c r="M41" s="23">
        <v>12</v>
      </c>
    </row>
    <row r="42" spans="1:13" x14ac:dyDescent="0.3">
      <c r="A42" s="9" t="s">
        <v>17</v>
      </c>
      <c r="B42" s="10">
        <v>1107792</v>
      </c>
      <c r="C42" s="8">
        <v>1707</v>
      </c>
      <c r="D42" s="11">
        <v>1706</v>
      </c>
      <c r="E42" s="8">
        <v>155</v>
      </c>
      <c r="F42" s="2">
        <v>149</v>
      </c>
      <c r="G42" s="2">
        <v>628</v>
      </c>
      <c r="H42" s="2">
        <v>309</v>
      </c>
      <c r="I42" s="12">
        <f t="shared" si="3"/>
        <v>77545.440000000002</v>
      </c>
      <c r="J42" s="13">
        <f t="shared" si="4"/>
        <v>14401.295999999998</v>
      </c>
      <c r="K42" s="14">
        <f t="shared" si="5"/>
        <v>91946.736000000004</v>
      </c>
      <c r="L42" s="23">
        <v>2025</v>
      </c>
      <c r="M42" s="23">
        <v>12</v>
      </c>
    </row>
    <row r="43" spans="1:13" x14ac:dyDescent="0.3">
      <c r="A43" s="9" t="s">
        <v>18</v>
      </c>
      <c r="B43" s="10">
        <v>598484</v>
      </c>
      <c r="C43" s="8">
        <v>846</v>
      </c>
      <c r="D43" s="11">
        <v>887</v>
      </c>
      <c r="E43" s="8">
        <v>129</v>
      </c>
      <c r="F43" s="2">
        <v>101</v>
      </c>
      <c r="G43" s="2">
        <v>628</v>
      </c>
      <c r="H43" s="2">
        <v>164</v>
      </c>
      <c r="I43" s="12">
        <f t="shared" si="3"/>
        <v>41893.880000000005</v>
      </c>
      <c r="J43" s="13">
        <f t="shared" si="4"/>
        <v>7780.2919999999995</v>
      </c>
      <c r="K43" s="14">
        <f t="shared" si="5"/>
        <v>49674.172000000006</v>
      </c>
      <c r="L43" s="23">
        <v>2025</v>
      </c>
      <c r="M43" s="23">
        <v>12</v>
      </c>
    </row>
    <row r="44" spans="1:13" x14ac:dyDescent="0.3">
      <c r="A44" s="9" t="s">
        <v>19</v>
      </c>
      <c r="B44" s="10">
        <v>808264</v>
      </c>
      <c r="C44" s="8">
        <v>1380</v>
      </c>
      <c r="D44" s="11">
        <v>1376</v>
      </c>
      <c r="E44" s="8">
        <v>142</v>
      </c>
      <c r="F44" s="2">
        <v>98</v>
      </c>
      <c r="G44" s="2">
        <v>568</v>
      </c>
      <c r="H44" s="2">
        <v>250</v>
      </c>
      <c r="I44" s="12">
        <f t="shared" si="3"/>
        <v>56578.48</v>
      </c>
      <c r="J44" s="13">
        <f t="shared" si="4"/>
        <v>10507.431999999999</v>
      </c>
      <c r="K44" s="14">
        <f t="shared" si="5"/>
        <v>67085.911999999997</v>
      </c>
      <c r="L44" s="23">
        <v>2025</v>
      </c>
      <c r="M44" s="23">
        <v>12</v>
      </c>
    </row>
    <row r="45" spans="1:13" x14ac:dyDescent="0.3">
      <c r="A45" s="9" t="s">
        <v>20</v>
      </c>
      <c r="B45" s="10">
        <v>789960</v>
      </c>
      <c r="C45" s="8">
        <v>1131</v>
      </c>
      <c r="D45" s="11">
        <v>1123</v>
      </c>
      <c r="E45" s="8">
        <v>115</v>
      </c>
      <c r="F45" s="2">
        <v>137</v>
      </c>
      <c r="G45" s="2">
        <v>681</v>
      </c>
      <c r="H45" s="2">
        <v>172</v>
      </c>
      <c r="I45" s="12">
        <f t="shared" si="3"/>
        <v>55297.200000000004</v>
      </c>
      <c r="J45" s="13">
        <f t="shared" si="4"/>
        <v>10269.48</v>
      </c>
      <c r="K45" s="14">
        <f t="shared" si="5"/>
        <v>65566.680000000008</v>
      </c>
      <c r="L45" s="23">
        <v>2025</v>
      </c>
      <c r="M45" s="23">
        <v>12</v>
      </c>
    </row>
    <row r="46" spans="1:13" x14ac:dyDescent="0.3">
      <c r="A46" s="15" t="s">
        <v>21</v>
      </c>
      <c r="B46" s="16">
        <v>961074</v>
      </c>
      <c r="C46" s="17">
        <v>1462</v>
      </c>
      <c r="D46" s="18">
        <v>1686</v>
      </c>
      <c r="E46" s="17">
        <v>315</v>
      </c>
      <c r="F46" s="19">
        <v>1</v>
      </c>
      <c r="G46" s="19">
        <v>642</v>
      </c>
      <c r="H46" s="19">
        <v>47</v>
      </c>
      <c r="I46" s="20">
        <f t="shared" si="3"/>
        <v>67275.180000000008</v>
      </c>
      <c r="J46" s="21">
        <f t="shared" si="4"/>
        <v>12493.962</v>
      </c>
      <c r="K46" s="22">
        <f t="shared" si="5"/>
        <v>79769.142000000007</v>
      </c>
      <c r="L46" s="23">
        <v>2025</v>
      </c>
      <c r="M46" s="23">
        <v>12</v>
      </c>
    </row>
  </sheetData>
  <conditionalFormatting sqref="B3:B46">
    <cfRule type="cellIs" dxfId="0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2025-12-08T14:43:53Z</dcterms:modified>
</cp:coreProperties>
</file>